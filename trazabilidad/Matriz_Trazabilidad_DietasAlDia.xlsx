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nuela.barrera_amar\Downloads\trazabilidad\"/>
    </mc:Choice>
  </mc:AlternateContent>
  <xr:revisionPtr revIDLastSave="0" documentId="13_ncr:1_{088A24DE-747B-4804-B0AE-876C7E8583DA}" xr6:coauthVersionLast="47" xr6:coauthVersionMax="47" xr10:uidLastSave="{00000000-0000-0000-0000-000000000000}"/>
  <bookViews>
    <workbookView xWindow="-33017" yWindow="-103" windowWidth="33120" windowHeight="18000" tabRatio="500" firstSheet="1" activeTab="1" xr2:uid="{00000000-000D-0000-FFFF-FFFF00000000}"/>
  </bookViews>
  <sheets>
    <sheet name="📖 Instrucciones" sheetId="1" r:id="rId1"/>
    <sheet name="📋 Matriz principal" sheetId="2" r:id="rId2"/>
    <sheet name="🔗 Trazabilidad visual" sheetId="3" r:id="rId3"/>
    <sheet name="📊 Resumen y métricas" sheetId="4" r:id="rId4"/>
    <sheet name="📝 Registro de RFCs" sheetId="5" r:id="rId5"/>
    <sheet name="🗂️ Catálogo de artefacto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4" i="4" l="1"/>
  <c r="E14" i="4"/>
  <c r="C14" i="4"/>
  <c r="A14" i="4"/>
  <c r="H10" i="4"/>
  <c r="G10" i="4"/>
  <c r="F10" i="4"/>
  <c r="E10" i="4"/>
  <c r="D10" i="4"/>
  <c r="C10" i="4"/>
  <c r="B10" i="4"/>
  <c r="A10" i="4"/>
  <c r="I5" i="4"/>
  <c r="G5" i="4"/>
  <c r="E5" i="4"/>
  <c r="C5" i="4"/>
  <c r="A5" i="4"/>
  <c r="N17" i="3"/>
  <c r="M17" i="3"/>
  <c r="L17" i="3"/>
  <c r="K17" i="3"/>
  <c r="J17" i="3"/>
  <c r="I17" i="3"/>
  <c r="H17" i="3"/>
  <c r="G17" i="3"/>
  <c r="F17" i="3"/>
  <c r="E17" i="3"/>
  <c r="D17" i="3"/>
  <c r="C17" i="3"/>
</calcChain>
</file>

<file path=xl/sharedStrings.xml><?xml version="1.0" encoding="utf-8"?>
<sst xmlns="http://schemas.openxmlformats.org/spreadsheetml/2006/main" count="386" uniqueCount="239">
  <si>
    <t>MATRIZ DE TRAZABILIDAD DE REQUISITOS</t>
  </si>
  <si>
    <t>Instanciada para el proyecto Dietas al Día — Requisito EPC 28 · U4A1 Ingeniería de Requisitos</t>
  </si>
  <si>
    <t>¿QUÉ ES ESTA PLANTILLA?</t>
  </si>
  <si>
    <t>Esta plantilla permite rastrear cada necesidad de negocio a través de todo el ciclo de vida del software: desde el requisito que la documenta, hasta los casos de prueba que la verifican y el código que la implementa. Cuando un requisito cambia, la matriz muestra de inmediato qué otros artefactos deben actualizarse, evitando el scope creep silencioso y las regresiones no detectadas.</t>
  </si>
  <si>
    <t>ESTRUCTURA DE LA PLANTILLA</t>
  </si>
  <si>
    <t>📋 Matriz principal</t>
  </si>
  <si>
    <t>Hoja central. Cada fila es un requisito. Registra origen, especificación, pruebas, estado y RFC asociada.</t>
  </si>
  <si>
    <t>🔗 Trazabilidad visual</t>
  </si>
  <si>
    <t>Vista cruzada (requisitos × artefactos). Un ✓ en cada celda indica que el artefacto cubre ese requisito.</t>
  </si>
  <si>
    <t>📊 Resumen y métricas</t>
  </si>
  <si>
    <t>Dashboard automático: % de cobertura, requisitos sin prueba, cambios pendientes y semáforo de salud.</t>
  </si>
  <si>
    <t>📝 Registro de RFCs</t>
  </si>
  <si>
    <t>Historial de todas las Solicitudes de Cambio procesadas, con estado y artefactos impactados.</t>
  </si>
  <si>
    <t>🗂️ Catálogo de artefactos</t>
  </si>
  <si>
    <t>Inventario de todos los documentos, módulos de código y casos de prueba referenciados en la matriz.</t>
  </si>
  <si>
    <t>GUÍA DE COLORES Y ESTADOS</t>
  </si>
  <si>
    <t>Activo / Aprobado / Completado</t>
  </si>
  <si>
    <t>El requisito o artefacto está en uso y verificado.</t>
  </si>
  <si>
    <t>En desarrollo / Pendiente de revisión</t>
  </si>
  <si>
    <t>Trabajo en curso. Requiere seguimiento.</t>
  </si>
  <si>
    <t>Rechazado / Bloqueado / Sin cobertura</t>
  </si>
  <si>
    <t>Requiere acción inmediata. No puede cerrarse el ciclo.</t>
  </si>
  <si>
    <t>Propuesto / En análisis</t>
  </si>
  <si>
    <t>RFC o requisito recién ingresado, aún no evaluado.</t>
  </si>
  <si>
    <t>Aplazado / En espera de decisión</t>
  </si>
  <si>
    <t>El CCB ha pospuesto la decisión a una iteración futura.</t>
  </si>
  <si>
    <t>Archivado / Fuera de alcance</t>
  </si>
  <si>
    <t>No aplica al sprint actual. Conservado por trazabilidad histórica.</t>
  </si>
  <si>
    <t>FLUJO DE TRABAJO RECOMENDADO</t>
  </si>
  <si>
    <t>1. Al iniciar el proyecto, registra todas las necesidades de negocio en la columna 'ID Necesidad' de la Matriz principal.</t>
  </si>
  <si>
    <t>2. Para cada necesidad, crea al menos un requisito en la hoja Matriz principal. Completa todas las columnas.</t>
  </si>
  <si>
    <t>3. A medida que avanza el desarrollo, actualiza 'ID Código', 'ID Caso de prueba' y 'Resultado prueba'.</t>
  </si>
  <si>
    <t>4. Cuando llegue una RFC, regístrala en la hoja 'Registro de RFCs' y actualiza las filas afectadas en la Matriz principal.</t>
  </si>
  <si>
    <t>5. Usa la hoja 'Trazabilidad visual' para detectar requisitos sin cobertura (celdas vacías en columnas de artefactos).</t>
  </si>
  <si>
    <t>6. Revisa el 'Resumen y métricas' antes de cada reunión del CCB o revisión de sprint.</t>
  </si>
  <si>
    <t>7. Al cerrar el proyecto, archiva la matriz completa junto con el SRS y el informe de lecciones aprendidas.</t>
  </si>
  <si>
    <t>MATRIZ DE TRAZABILIDAD DE REQUISITOS — Hoja principal</t>
  </si>
  <si>
    <t>IDENTIFICACIÓN</t>
  </si>
  <si>
    <t>ORIGEN</t>
  </si>
  <si>
    <t>ESPECIFICACIÓN</t>
  </si>
  <si>
    <t>IMPLEMENTACIÓN</t>
  </si>
  <si>
    <t>VERIFICACIÓN</t>
  </si>
  <si>
    <t>ESTADO Y CAMBIOS</t>
  </si>
  <si>
    <t>ID Requisito</t>
  </si>
  <si>
    <t>Título del requisito</t>
  </si>
  <si>
    <t>Tipo</t>
  </si>
  <si>
    <t>ID Necesidad
de negocio</t>
  </si>
  <si>
    <t>Stakeholder
solicitante</t>
  </si>
  <si>
    <t>Prioridad
(MoSCoW)</t>
  </si>
  <si>
    <t>Versión
SRS</t>
  </si>
  <si>
    <t>Criterios de
aceptación (resumen)</t>
  </si>
  <si>
    <t>ID Módulo /
Código</t>
  </si>
  <si>
    <t>Sprint
implementación</t>
  </si>
  <si>
    <t>Responsable
desarrollo</t>
  </si>
  <si>
    <t>ID Caso de
prueba</t>
  </si>
  <si>
    <t>Resultado
prueba</t>
  </si>
  <si>
    <t>Fecha última
prueba</t>
  </si>
  <si>
    <t>Estado actual</t>
  </si>
  <si>
    <t>RFC asociada</t>
  </si>
  <si>
    <t>Última
actualización</t>
  </si>
  <si>
    <t>Notas / Observaciones</t>
  </si>
  <si>
    <t>REQ-EPC28-CA1</t>
  </si>
  <si>
    <t>CA1 — Mostrar dietas asociadas en un único paso</t>
  </si>
  <si>
    <t>Funcional</t>
  </si>
  <si>
    <t>NEG-01</t>
  </si>
  <si>
    <t>Jefe del Departamento de Nutrición</t>
  </si>
  <si>
    <t>Must have</t>
  </si>
  <si>
    <t>Historia EPC28 v1.0</t>
  </si>
  <si>
    <t>Dado un paciente con enfermedad registrada, el sistema muestra las dietas asociadas en un único paso.</t>
  </si>
  <si>
    <t>rankDietsForPatient() / renderDietRanking()</t>
  </si>
  <si>
    <t>U3A2</t>
  </si>
  <si>
    <t>TC-CA1</t>
  </si>
  <si>
    <t>Pasado</t>
  </si>
  <si>
    <t>2026-09-20</t>
  </si>
  <si>
    <t>Verificado</t>
  </si>
  <si>
    <t>—</t>
  </si>
  <si>
    <t>El motor evalúa las 4 dietas del catálogo, no solo las de la enfermedad registrada.</t>
  </si>
  <si>
    <t>REQ-EPC28-CA2</t>
  </si>
  <si>
    <t>CA2 — Señalización inequívoca de incompatibilidad</t>
  </si>
  <si>
    <t>NEG-02</t>
  </si>
  <si>
    <t>Equipo de diseño UX / Calidad</t>
  </si>
  <si>
    <t>Si una dieta incluye un alérgeno/incompatible del paciente, el sistema lo señala de forma inequívoca antes de confirmar.</t>
  </si>
  <si>
    <t>openDietDrawer() — callout + ícono ⚠/◐</t>
  </si>
  <si>
    <t>TC-CA2</t>
  </si>
  <si>
    <t>SC-02</t>
  </si>
  <si>
    <t>Reformulado tras defecto D2 (IEEE): ya no depende solo del color; usa texto explícito + ícono.</t>
  </si>
  <si>
    <t>REQ-EPC28-CA3</t>
  </si>
  <si>
    <t>CA3 — Ficha técnica sin perder el contexto del paciente</t>
  </si>
  <si>
    <t>El médico accede a la ficha técnica completa de la dieta sin perder el contexto del paciente.</t>
  </si>
  <si>
    <t>openDietDrawer() — panel lateral</t>
  </si>
  <si>
    <t>TC-CA3</t>
  </si>
  <si>
    <t>REQ-EPC28-CA4</t>
  </si>
  <si>
    <t>CA4 — Confirmación en menos de 90 s sin omitir alertas</t>
  </si>
  <si>
    <t>Un usuario nuevo elige una dieta segura en menos de 90 segundos sin pasar por alto ninguna alerta.</t>
  </si>
  <si>
    <t>startTimer() + checkbox de reconocimiento</t>
  </si>
  <si>
    <t>TC-CA4</t>
  </si>
  <si>
    <t>El botón de confirmación queda bloqueado ante alergia crítica hasta reconocer la alerta.</t>
  </si>
  <si>
    <t>REQ-EPC28-EXT01</t>
  </si>
  <si>
    <t>Manejar paciente sin dietas asociadas al diagnóstico (caso límite)</t>
  </si>
  <si>
    <t>Should have</t>
  </si>
  <si>
    <t>Propuesta v0.1</t>
  </si>
  <si>
    <t>Caso límite detectado en la lista de verificación IEEE (defecto D1): completitud de CA1.</t>
  </si>
  <si>
    <t>(N/A — superado por rediseño)</t>
  </si>
  <si>
    <t>Archivado</t>
  </si>
  <si>
    <t>SC-01</t>
  </si>
  <si>
    <t>Cerrado por rediseño: el motor ahora evalúa siempre las 4 dietas del catálogo, por lo que un paciente nunca queda sin dietas para mostrar. El escenario ya no puede ocurrir.</t>
  </si>
  <si>
    <t>REQ-COMORB-01</t>
  </si>
  <si>
    <t>Registrar y evaluar pacientes con comorbilidades (varias enfermedades activas)</t>
  </si>
  <si>
    <t>NEG-03</t>
  </si>
  <si>
    <t>Could have</t>
  </si>
  <si>
    <t>Permitir más de un diagnóstico activo por paciente y cruzar dietas/alergias contra todos ellos.</t>
  </si>
  <si>
    <t>(pendiente de construir)</t>
  </si>
  <si>
    <t>Fase 2 (backlog)</t>
  </si>
  <si>
    <t>Aplazado</t>
  </si>
  <si>
    <t>SC-03</t>
  </si>
  <si>
    <t>El CCB aprobó su análisis, no su construcción, por el alto impacto en el modelo de datos paciente–enfermedad. Sin caso de prueba porque aún no se implementa.</t>
  </si>
  <si>
    <t>REQ-AUDIT-01</t>
  </si>
  <si>
    <t>Registro histórico de tratamientos confirmados por médico</t>
  </si>
  <si>
    <t>No funcional</t>
  </si>
  <si>
    <t>NEG-04</t>
  </si>
  <si>
    <t>Equipo de Calidad (QA)</t>
  </si>
  <si>
    <t>Won't have</t>
  </si>
  <si>
    <t>Registro con fines de auditoría legal de qué tratamiento fue confirmado y por qué médico.</t>
  </si>
  <si>
    <t>(rechazado, sin implementación)</t>
  </si>
  <si>
    <t>N/A</t>
  </si>
  <si>
    <t>Rechazado</t>
  </si>
  <si>
    <t>SC-04</t>
  </si>
  <si>
    <t>Rechazado para el alcance del EPC 28 por el CCB. Requiere persistencia y autenticación reales, fuera del alcance de este prototipo. Trasladado al backlog general del sistema.</t>
  </si>
  <si>
    <t>TRAZABILIDAD VISUAL — Requisitos × Artefactos</t>
  </si>
  <si>
    <t>Necesidades</t>
  </si>
  <si>
    <t>Casos de prueba</t>
  </si>
  <si>
    <t>Módulos código</t>
  </si>
  <si>
    <t>ID Req.</t>
  </si>
  <si>
    <t>Título (abrev.)</t>
  </si>
  <si>
    <t>TC-COMORB-01</t>
  </si>
  <si>
    <t>Prototipo-HTML</t>
  </si>
  <si>
    <t>Motor-Decision-JS</t>
  </si>
  <si>
    <t>Doc-Validacion-CCB</t>
  </si>
  <si>
    <t>CA1 — Dietas en un paso</t>
  </si>
  <si>
    <t>✓</t>
  </si>
  <si>
    <t>CA2 — Alerta inequívoca</t>
  </si>
  <si>
    <t>CA3 — Ficha sin perder contexto</t>
  </si>
  <si>
    <t>CA4 — Confirmación &lt; 90 s</t>
  </si>
  <si>
    <t>Paciente sin dietas (archivado)</t>
  </si>
  <si>
    <t>Comorbilidades (aplazado)</t>
  </si>
  <si>
    <t>Registro histórico (rechazado)</t>
  </si>
  <si>
    <t>Cobertura total (%)</t>
  </si>
  <si>
    <t>RESUMEN Y MÉTRICAS — Dashboard de trazabilidad</t>
  </si>
  <si>
    <t>Las métricas se calculan automáticamente a partir de la hoja '📋 Matriz principal'</t>
  </si>
  <si>
    <t>Total requisitos</t>
  </si>
  <si>
    <t>Verificados</t>
  </si>
  <si>
    <t>En desarrollo</t>
  </si>
  <si>
    <t>Bloqueados / Fallidos</t>
  </si>
  <si>
    <t>Sin caso de prueba</t>
  </si>
  <si>
    <t>DISTRIBUCIÓN DE ESTADOS</t>
  </si>
  <si>
    <t>Propuesto</t>
  </si>
  <si>
    <t>Aprobado</t>
  </si>
  <si>
    <t>Implementado</t>
  </si>
  <si>
    <t>DISTRIBUCIÓN POR PRIORIDAD (MoSCoW)</t>
  </si>
  <si>
    <t>ALERTAS DE COBERTURA — Requisitos sin caso de prueba asignado</t>
  </si>
  <si>
    <t>Título</t>
  </si>
  <si>
    <t>Prioridad</t>
  </si>
  <si>
    <t>Estado</t>
  </si>
  <si>
    <t>Responsable</t>
  </si>
  <si>
    <t>Sprint</t>
  </si>
  <si>
    <t>Registrar y evaluar pacientes con comorbilidades</t>
  </si>
  <si>
    <t>REGISTRO DE SOLICITUDES DE CAMBIO (RFC)</t>
  </si>
  <si>
    <t>ID RFC</t>
  </si>
  <si>
    <t>Título del cambio</t>
  </si>
  <si>
    <t>Solicitante</t>
  </si>
  <si>
    <t>Fecha solicitud</t>
  </si>
  <si>
    <t>Requisito(s) afect.</t>
  </si>
  <si>
    <t>Artefactos impactados</t>
  </si>
  <si>
    <t>Decisión CCB</t>
  </si>
  <si>
    <t>Fecha decisión</t>
  </si>
  <si>
    <t>Responsable impl.</t>
  </si>
  <si>
    <t>Sprint impl.</t>
  </si>
  <si>
    <t>Estado RFC</t>
  </si>
  <si>
    <t>Notas</t>
  </si>
  <si>
    <t>Estado vacío para paciente sin dietas asociadas</t>
  </si>
  <si>
    <t>Analista de requisitos (defecto D1)</t>
  </si>
  <si>
    <t>2026-09-13</t>
  </si>
  <si>
    <t>Alta</t>
  </si>
  <si>
    <t>Prototipo (vista de lista de dietas)</t>
  </si>
  <si>
    <t>U3A2 (superado por rediseño)</t>
  </si>
  <si>
    <t>Cerrado — sin construir</t>
  </si>
  <si>
    <t>Se cierra porque el rediseño del motor (evalúa todas las dietas) eliminó el escenario.</t>
  </si>
  <si>
    <t>Reforzar la señal de incompatibilidad con ícono y texto</t>
  </si>
  <si>
    <t>Analista de requisitos (defecto D2)</t>
  </si>
  <si>
    <t>Franja de estado, panel de ficha técnica</t>
  </si>
  <si>
    <t>Implementado en la v2 del prototipo (⚠ alergia / ◐ incompatibilidad + texto explícito).</t>
  </si>
  <si>
    <t>Permitir registrar comorbilidades (varias enfermedades por paciente)</t>
  </si>
  <si>
    <t>Media</t>
  </si>
  <si>
    <t>Modelo de datos paciente–enfermedad, motor de decisión</t>
  </si>
  <si>
    <t>Diferido a fase 2</t>
  </si>
  <si>
    <t>Pendiente</t>
  </si>
  <si>
    <t>Alto impacto en el modelo de datos. Se aprobó el análisis, no la construcción.</t>
  </si>
  <si>
    <t>Baja</t>
  </si>
  <si>
    <t>Ninguno (fuera de alcance actual)</t>
  </si>
  <si>
    <t>Cerrado — rechazado</t>
  </si>
  <si>
    <t>Fuera del alcance del EPC 28. Trasladado como requisito no funcional al backlog general.</t>
  </si>
  <si>
    <t>CATÁLOGO DE ARTEFACTOS</t>
  </si>
  <si>
    <t>ID Artefacto</t>
  </si>
  <si>
    <t>Nombre / Descripción</t>
  </si>
  <si>
    <t>Versión / Estado final</t>
  </si>
  <si>
    <t>Autor o revisor</t>
  </si>
  <si>
    <t>Fecha de cierre</t>
  </si>
  <si>
    <t>Requisitos vinculados</t>
  </si>
  <si>
    <t>HIST-EPC28</t>
  </si>
  <si>
    <t>Historia de usuario / requisito</t>
  </si>
  <si>
    <t>Historia de usuario EPC 28 con criterios de aceptación CA1–CA4</t>
  </si>
  <si>
    <t>v1.0 · Aprobado</t>
  </si>
  <si>
    <t>REQ-EPC28-CA1 a REQ-EPC28-CA4</t>
  </si>
  <si>
    <t>PROTO-001</t>
  </si>
  <si>
    <t>Prototipo (código)</t>
  </si>
  <si>
    <t>Prototipo funcional Dietas al Día — HTML/CSS/JS autocontenido</t>
  </si>
  <si>
    <t>v2.1 · Cerrado / en uso</t>
  </si>
  <si>
    <t>REQ-EPC28-CA1 a REQ-EPC28-CA4, REQ-EPC28-EXT01</t>
  </si>
  <si>
    <t>DOC-VAL-001</t>
  </si>
  <si>
    <t>Documento de validación</t>
  </si>
  <si>
    <t>Checklist IEEE, registro de defectos y acta del CCB</t>
  </si>
  <si>
    <t>v1.0 · Cerrado</t>
  </si>
  <si>
    <t>REQ-EPC28-CA1 a REQ-EPC28-CA4, SC-01 a SC-04</t>
  </si>
  <si>
    <t>MTX-001</t>
  </si>
  <si>
    <t>Matriz de trazabilidad</t>
  </si>
  <si>
    <t>Este archivo — matriz de trazabilidad U4A1</t>
  </si>
  <si>
    <t>v1.0 · En uso</t>
  </si>
  <si>
    <t>Todos</t>
  </si>
  <si>
    <t>AUD-001</t>
  </si>
  <si>
    <t>Informe de auditoría</t>
  </si>
  <si>
    <t>Auditoría de trazabilidad end-to-end (Misión 10)</t>
  </si>
  <si>
    <t>README-001</t>
  </si>
  <si>
    <t>Documento README</t>
  </si>
  <si>
    <t>Guía del repositorio para un lector externo al proyecto</t>
  </si>
  <si>
    <t>v1.0 · Publicado</t>
  </si>
  <si>
    <t>Manuela Barrera</t>
  </si>
  <si>
    <t xml:space="preserve">Oscar Sánchez García / Manuela Barrera </t>
  </si>
  <si>
    <t xml:space="preserve">Manuela Barrera </t>
  </si>
  <si>
    <t>Manuela Barrera  / Oscar Sánchez García (revisor)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</si>
</sst>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1"/>
      <color theme="1"/>
      <name val="Roboto"/>
      <family val="2"/>
      <charset val="1"/>
    </font>
    <font>
      <b/>
      <sz val="18"/>
      <color rgb="FFFFFFFF"/>
      <name val="Arial"/>
      <family val="2"/>
      <charset val="1"/>
    </font>
    <font>
      <i/>
      <sz val="10"/>
      <color theme="9" tint="-0.499984740745262"/>
      <name val="Arial"/>
      <family val="2"/>
      <charset val="1"/>
    </font>
    <font>
      <b/>
      <sz val="11"/>
      <color rgb="FF1A1A1A"/>
      <name val="Arial"/>
      <family val="2"/>
      <charset val="1"/>
    </font>
    <font>
      <sz val="9"/>
      <color rgb="FF1A1A1A"/>
      <name val="Arial"/>
      <family val="2"/>
      <charset val="1"/>
    </font>
    <font>
      <b/>
      <sz val="9"/>
      <color theme="9" tint="-0.499984740745262"/>
      <name val="Arial"/>
      <family val="2"/>
      <charset val="1"/>
    </font>
    <font>
      <b/>
      <sz val="9"/>
      <color rgb="FF27500A"/>
      <name val="Arial"/>
      <family val="2"/>
      <charset val="1"/>
    </font>
    <font>
      <sz val="9"/>
      <color rgb="FF555555"/>
      <name val="Arial"/>
      <family val="2"/>
      <charset val="1"/>
    </font>
    <font>
      <b/>
      <sz val="9"/>
      <color rgb="FF633806"/>
      <name val="Arial"/>
      <family val="2"/>
      <charset val="1"/>
    </font>
    <font>
      <b/>
      <sz val="9"/>
      <color rgb="FF791F1F"/>
      <name val="Arial"/>
      <family val="2"/>
      <charset val="1"/>
    </font>
    <font>
      <b/>
      <sz val="9"/>
      <color rgb="FF0C447C"/>
      <name val="Arial"/>
      <family val="2"/>
      <charset val="1"/>
    </font>
    <font>
      <b/>
      <sz val="9"/>
      <color rgb="FF3C3489"/>
      <name val="Arial"/>
      <family val="2"/>
      <charset val="1"/>
    </font>
    <font>
      <b/>
      <sz val="9"/>
      <color rgb="FF888780"/>
      <name val="Arial"/>
      <family val="2"/>
      <charset val="1"/>
    </font>
    <font>
      <b/>
      <sz val="14"/>
      <color rgb="FFFFFFFF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9"/>
      <color rgb="FF1A1A1A"/>
      <name val="Arial"/>
      <family val="2"/>
      <charset val="1"/>
    </font>
    <font>
      <b/>
      <sz val="8"/>
      <color rgb="FFFFFFFF"/>
      <name val="Arial"/>
      <family val="2"/>
      <charset val="1"/>
    </font>
    <font>
      <b/>
      <sz val="9"/>
      <color rgb="FF993556"/>
      <name val="Arial"/>
      <family val="2"/>
      <charset val="1"/>
    </font>
    <font>
      <b/>
      <sz val="10"/>
      <color rgb="FF27500A"/>
      <name val="Arial"/>
      <family val="2"/>
      <charset val="1"/>
    </font>
    <font>
      <i/>
      <sz val="9"/>
      <color rgb="FFD4537E"/>
      <name val="Arial"/>
      <family val="2"/>
      <charset val="1"/>
    </font>
    <font>
      <sz val="9"/>
      <color rgb="FFFFFFFF"/>
      <name val="Arial"/>
      <family val="2"/>
      <charset val="1"/>
    </font>
    <font>
      <b/>
      <sz val="22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8"/>
      <color rgb="FF0C447C"/>
      <name val="Arial"/>
      <family val="2"/>
      <charset val="1"/>
    </font>
    <font>
      <b/>
      <sz val="8"/>
      <color rgb="FF085041"/>
      <name val="Arial"/>
      <family val="2"/>
      <charset val="1"/>
    </font>
    <font>
      <b/>
      <sz val="8"/>
      <color rgb="FF633806"/>
      <name val="Arial"/>
      <family val="2"/>
      <charset val="1"/>
    </font>
    <font>
      <b/>
      <sz val="8"/>
      <color rgb="FF27500A"/>
      <name val="Arial"/>
      <family val="2"/>
      <charset val="1"/>
    </font>
    <font>
      <b/>
      <sz val="8"/>
      <color rgb="FF3C3489"/>
      <name val="Arial"/>
      <family val="2"/>
      <charset val="1"/>
    </font>
    <font>
      <b/>
      <sz val="8"/>
      <color rgb="FF791F1F"/>
      <name val="Arial"/>
      <family val="2"/>
      <charset val="1"/>
    </font>
    <font>
      <b/>
      <sz val="8"/>
      <color rgb="FF888780"/>
      <name val="Arial"/>
      <family val="2"/>
      <charset val="1"/>
    </font>
    <font>
      <b/>
      <sz val="16"/>
      <color rgb="FF0C447C"/>
      <name val="Arial"/>
      <family val="2"/>
      <charset val="1"/>
    </font>
    <font>
      <b/>
      <sz val="16"/>
      <color rgb="FF085041"/>
      <name val="Arial"/>
      <family val="2"/>
      <charset val="1"/>
    </font>
    <font>
      <b/>
      <sz val="16"/>
      <color rgb="FF633806"/>
      <name val="Arial"/>
      <family val="2"/>
      <charset val="1"/>
    </font>
    <font>
      <b/>
      <sz val="16"/>
      <color rgb="FF27500A"/>
      <name val="Arial"/>
      <family val="2"/>
      <charset val="1"/>
    </font>
    <font>
      <b/>
      <sz val="16"/>
      <color rgb="FF3C3489"/>
      <name val="Arial"/>
      <family val="2"/>
      <charset val="1"/>
    </font>
    <font>
      <b/>
      <sz val="16"/>
      <color rgb="FF791F1F"/>
      <name val="Arial"/>
      <family val="2"/>
      <charset val="1"/>
    </font>
    <font>
      <b/>
      <sz val="16"/>
      <color rgb="FF888780"/>
      <name val="Arial"/>
      <family val="2"/>
      <charset val="1"/>
    </font>
    <font>
      <b/>
      <sz val="18"/>
      <color rgb="FF791F1F"/>
      <name val="Arial"/>
      <family val="2"/>
      <charset val="1"/>
    </font>
    <font>
      <b/>
      <sz val="18"/>
      <color rgb="FF633806"/>
      <name val="Arial"/>
      <family val="2"/>
      <charset val="1"/>
    </font>
    <font>
      <b/>
      <sz val="18"/>
      <color rgb="FF0C447C"/>
      <name val="Arial"/>
      <family val="2"/>
      <charset val="1"/>
    </font>
    <font>
      <b/>
      <sz val="18"/>
      <color rgb="FF888780"/>
      <name val="Arial"/>
      <family val="2"/>
      <charset val="1"/>
    </font>
    <font>
      <i/>
      <sz val="9"/>
      <color rgb="FF791F1F"/>
      <name val="Arial"/>
      <family val="2"/>
      <charset val="1"/>
    </font>
    <font>
      <b/>
      <sz val="9"/>
      <color rgb="FF085041"/>
      <name val="Arial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9" tint="-0.499984740745262"/>
        <bgColor rgb="FF555555"/>
      </patternFill>
    </fill>
    <fill>
      <patternFill patternType="solid">
        <fgColor theme="9" tint="0.79989013336588644"/>
        <bgColor rgb="FFE6F1FB"/>
      </patternFill>
    </fill>
    <fill>
      <patternFill patternType="solid">
        <fgColor rgb="FFF5F4F2"/>
        <bgColor rgb="FFFDF5F8"/>
      </patternFill>
    </fill>
    <fill>
      <patternFill patternType="solid">
        <fgColor rgb="FFFFFFFF"/>
        <bgColor rgb="FFFDF5F8"/>
      </patternFill>
    </fill>
    <fill>
      <patternFill patternType="solid">
        <fgColor rgb="FFEAF3DE"/>
        <bgColor rgb="FFE1F5EE"/>
      </patternFill>
    </fill>
    <fill>
      <patternFill patternType="solid">
        <fgColor rgb="FFFAEEDA"/>
        <bgColor rgb="FFFCEBEB"/>
      </patternFill>
    </fill>
    <fill>
      <patternFill patternType="solid">
        <fgColor rgb="FFFCEBEB"/>
        <bgColor rgb="FFFBEAF0"/>
      </patternFill>
    </fill>
    <fill>
      <patternFill patternType="solid">
        <fgColor rgb="FFE6F1FB"/>
        <bgColor rgb="FFE5EDEF"/>
      </patternFill>
    </fill>
    <fill>
      <patternFill patternType="solid">
        <fgColor rgb="FFEEEDFE"/>
        <bgColor rgb="FFE6F1FB"/>
      </patternFill>
    </fill>
    <fill>
      <patternFill patternType="solid">
        <fgColor rgb="FFBA7517"/>
        <bgColor rgb="FFFF6600"/>
      </patternFill>
    </fill>
    <fill>
      <patternFill patternType="solid">
        <fgColor rgb="FF185FA5"/>
        <bgColor rgb="FF0C447C"/>
      </patternFill>
    </fill>
    <fill>
      <patternFill patternType="solid">
        <fgColor rgb="FF1D9E75"/>
        <bgColor rgb="FF008080"/>
      </patternFill>
    </fill>
    <fill>
      <patternFill patternType="solid">
        <fgColor rgb="FF3B6D11"/>
        <bgColor rgb="FF27500A"/>
      </patternFill>
    </fill>
    <fill>
      <patternFill patternType="solid">
        <fgColor rgb="FF7F77DD"/>
        <bgColor rgb="FF888780"/>
      </patternFill>
    </fill>
    <fill>
      <patternFill patternType="solid">
        <fgColor rgb="FFFDF5F8"/>
        <bgColor rgb="FFF5F4F2"/>
      </patternFill>
    </fill>
    <fill>
      <patternFill patternType="solid">
        <fgColor rgb="FFFBEAF0"/>
        <bgColor rgb="FFFCEBEB"/>
      </patternFill>
    </fill>
    <fill>
      <patternFill patternType="solid">
        <fgColor rgb="FFA32D2D"/>
        <bgColor rgb="FF993556"/>
      </patternFill>
    </fill>
    <fill>
      <patternFill patternType="solid">
        <fgColor rgb="FFE1F5EE"/>
        <bgColor rgb="FFE6F1FB"/>
      </patternFill>
    </fill>
  </fills>
  <borders count="26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CCCC"/>
      </left>
      <right style="thin">
        <color rgb="FFDDCCCC"/>
      </right>
      <top style="thin">
        <color rgb="FFDDCCCC"/>
      </top>
      <bottom style="thin">
        <color rgb="FFDDCCCC"/>
      </bottom>
      <diagonal/>
    </border>
    <border>
      <left style="thin">
        <color rgb="FF993556"/>
      </left>
      <right style="thin">
        <color rgb="FF993556"/>
      </right>
      <top/>
      <bottom style="thin">
        <color rgb="FF993556"/>
      </bottom>
      <diagonal/>
    </border>
    <border>
      <left style="thin">
        <color rgb="FFBA7517"/>
      </left>
      <right style="thin">
        <color rgb="FFBA7517"/>
      </right>
      <top/>
      <bottom style="thin">
        <color rgb="FFBA7517"/>
      </bottom>
      <diagonal/>
    </border>
    <border>
      <left style="thin">
        <color rgb="FF185FA5"/>
      </left>
      <right style="thin">
        <color rgb="FF185FA5"/>
      </right>
      <top/>
      <bottom style="thin">
        <color rgb="FF185FA5"/>
      </bottom>
      <diagonal/>
    </border>
    <border>
      <left style="thin">
        <color rgb="FF1D9E75"/>
      </left>
      <right style="thin">
        <color rgb="FF1D9E75"/>
      </right>
      <top/>
      <bottom style="thin">
        <color rgb="FF1D9E75"/>
      </bottom>
      <diagonal/>
    </border>
    <border>
      <left style="thin">
        <color rgb="FF3B6D11"/>
      </left>
      <right style="thin">
        <color rgb="FF3B6D11"/>
      </right>
      <top/>
      <bottom style="thin">
        <color rgb="FF3B6D11"/>
      </bottom>
      <diagonal/>
    </border>
    <border>
      <left style="thin">
        <color rgb="FF7F77DD"/>
      </left>
      <right style="thin">
        <color rgb="FF7F77DD"/>
      </right>
      <top/>
      <bottom style="thin">
        <color rgb="FF7F77D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A7517"/>
      </left>
      <right style="thin">
        <color rgb="FFBA7517"/>
      </right>
      <top style="thin">
        <color rgb="FFBA7517"/>
      </top>
      <bottom style="thin">
        <color rgb="FFBA7517"/>
      </bottom>
      <diagonal/>
    </border>
    <border>
      <left style="thin">
        <color rgb="FF3B6D11"/>
      </left>
      <right style="thin">
        <color rgb="FF3B6D11"/>
      </right>
      <top style="thin">
        <color rgb="FF3B6D11"/>
      </top>
      <bottom style="thin">
        <color rgb="FF3B6D11"/>
      </bottom>
      <diagonal/>
    </border>
    <border>
      <left style="thin">
        <color rgb="FF1D9E75"/>
      </left>
      <right style="thin">
        <color rgb="FF1D9E75"/>
      </right>
      <top style="thin">
        <color rgb="FF1D9E75"/>
      </top>
      <bottom style="thin">
        <color rgb="FF1D9E75"/>
      </bottom>
      <diagonal/>
    </border>
    <border>
      <left/>
      <right style="thin">
        <color rgb="FF3B6D11"/>
      </right>
      <top style="thin">
        <color rgb="FF3B6D11"/>
      </top>
      <bottom style="thin">
        <color rgb="FF3B6D11"/>
      </bottom>
      <diagonal/>
    </border>
    <border>
      <left style="thin">
        <color rgb="FFA32D2D"/>
      </left>
      <right style="thin">
        <color rgb="FFA32D2D"/>
      </right>
      <top style="thin">
        <color rgb="FFA32D2D"/>
      </top>
      <bottom style="thin">
        <color rgb="FFA32D2D"/>
      </bottom>
      <diagonal/>
    </border>
    <border>
      <left style="thin">
        <color rgb="FF7F77DD"/>
      </left>
      <right style="thin">
        <color rgb="FF7F77DD"/>
      </right>
      <top style="thin">
        <color rgb="FF7F77DD"/>
      </top>
      <bottom style="thin">
        <color rgb="FF7F77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791F1F"/>
      </left>
      <right style="thin">
        <color rgb="FF791F1F"/>
      </right>
      <top/>
      <bottom/>
      <diagonal/>
    </border>
    <border>
      <left/>
      <right/>
      <top/>
      <bottom style="thin">
        <color theme="9" tint="0.79989013336588644"/>
      </bottom>
      <diagonal/>
    </border>
    <border>
      <left style="thin">
        <color theme="9" tint="0.79989013336588644"/>
      </left>
      <right style="thin">
        <color theme="9" tint="0.79989013336588644"/>
      </right>
      <top style="thin">
        <color theme="9" tint="0.79989013336588644"/>
      </top>
      <bottom style="thin">
        <color theme="9" tint="0.79989013336588644"/>
      </bottom>
      <diagonal/>
    </border>
    <border>
      <left/>
      <right/>
      <top style="thin">
        <color theme="9" tint="0.79989013336588644"/>
      </top>
      <bottom style="thin">
        <color theme="9" tint="0.79989013336588644"/>
      </bottom>
      <diagonal/>
    </border>
    <border>
      <left style="thin">
        <color theme="9" tint="0.79989013336588644"/>
      </left>
      <right/>
      <top style="thin">
        <color theme="9" tint="0.79989013336588644"/>
      </top>
      <bottom style="thin">
        <color theme="9" tint="0.79989013336588644"/>
      </bottom>
      <diagonal/>
    </border>
    <border>
      <left style="thin">
        <color rgb="FFD4537E"/>
      </left>
      <right/>
      <top/>
      <bottom style="thin">
        <color rgb="FFD4537E"/>
      </bottom>
      <diagonal/>
    </border>
    <border>
      <left style="thin">
        <color theme="9" tint="0.79989013336588644"/>
      </left>
      <right style="thin">
        <color theme="9" tint="0.79989013336588644"/>
      </right>
      <top style="thin">
        <color theme="9" tint="0.79989013336588644"/>
      </top>
      <bottom style="thin">
        <color rgb="FFD4537E"/>
      </bottom>
      <diagonal/>
    </border>
    <border>
      <left/>
      <right/>
      <top/>
      <bottom style="thin">
        <color rgb="FFD4537E"/>
      </bottom>
      <diagonal/>
    </border>
    <border>
      <left style="thin">
        <color theme="9" tint="0.79989013336588644"/>
      </left>
      <right style="thin">
        <color rgb="FFD4537E"/>
      </right>
      <top style="thin">
        <color theme="9" tint="0.79989013336588644"/>
      </top>
      <bottom style="thin">
        <color rgb="FFD4537E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2" fillId="4" borderId="1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11" borderId="9" xfId="0" applyFont="1" applyFill="1" applyBorder="1" applyAlignment="1">
      <alignment horizontal="center" vertical="center" wrapText="1"/>
    </xf>
    <xf numFmtId="0" fontId="14" fillId="12" borderId="9" xfId="0" applyFont="1" applyFill="1" applyBorder="1" applyAlignment="1">
      <alignment horizontal="center" vertical="center" wrapText="1"/>
    </xf>
    <xf numFmtId="0" fontId="14" fillId="13" borderId="9" xfId="0" applyFont="1" applyFill="1" applyBorder="1" applyAlignment="1">
      <alignment horizontal="center" vertical="center" wrapText="1"/>
    </xf>
    <xf numFmtId="0" fontId="14" fillId="14" borderId="9" xfId="0" applyFont="1" applyFill="1" applyBorder="1" applyAlignment="1">
      <alignment horizontal="center" vertical="center" wrapText="1"/>
    </xf>
    <xf numFmtId="0" fontId="14" fillId="15" borderId="9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5" fillId="16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2" borderId="0" xfId="0" applyFill="1"/>
    <xf numFmtId="0" fontId="16" fillId="2" borderId="9" xfId="0" applyFont="1" applyFill="1" applyBorder="1" applyAlignment="1">
      <alignment horizontal="center" vertical="center" wrapText="1"/>
    </xf>
    <xf numFmtId="0" fontId="16" fillId="11" borderId="9" xfId="0" applyFont="1" applyFill="1" applyBorder="1" applyAlignment="1">
      <alignment horizontal="center" vertical="center" wrapText="1"/>
    </xf>
    <xf numFmtId="0" fontId="16" fillId="14" borderId="9" xfId="0" applyFont="1" applyFill="1" applyBorder="1" applyAlignment="1">
      <alignment horizontal="center" vertical="center" wrapText="1"/>
    </xf>
    <xf numFmtId="0" fontId="16" fillId="13" borderId="9" xfId="0" applyFont="1" applyFill="1" applyBorder="1" applyAlignment="1">
      <alignment horizontal="center" vertical="center" wrapText="1"/>
    </xf>
    <xf numFmtId="0" fontId="17" fillId="1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18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9" fontId="6" fillId="6" borderId="13" xfId="0" applyNumberFormat="1" applyFont="1" applyFill="1" applyBorder="1" applyAlignment="1">
      <alignment horizontal="center" vertical="center"/>
    </xf>
    <xf numFmtId="9" fontId="6" fillId="6" borderId="11" xfId="0" applyNumberFormat="1" applyFont="1" applyFill="1" applyBorder="1" applyAlignment="1">
      <alignment horizontal="center" vertical="center"/>
    </xf>
    <xf numFmtId="0" fontId="23" fillId="9" borderId="16" xfId="0" applyFont="1" applyFill="1" applyBorder="1" applyAlignment="1">
      <alignment horizontal="center" vertical="center" wrapText="1"/>
    </xf>
    <xf numFmtId="0" fontId="24" fillId="19" borderId="16" xfId="0" applyFont="1" applyFill="1" applyBorder="1" applyAlignment="1">
      <alignment horizontal="center" vertical="center" wrapText="1"/>
    </xf>
    <xf numFmtId="0" fontId="25" fillId="7" borderId="16" xfId="0" applyFont="1" applyFill="1" applyBorder="1" applyAlignment="1">
      <alignment horizontal="center" vertical="center" wrapText="1"/>
    </xf>
    <xf numFmtId="0" fontId="26" fillId="6" borderId="16" xfId="0" applyFont="1" applyFill="1" applyBorder="1" applyAlignment="1">
      <alignment horizontal="center" vertical="center" wrapText="1"/>
    </xf>
    <xf numFmtId="0" fontId="27" fillId="10" borderId="16" xfId="0" applyFont="1" applyFill="1" applyBorder="1" applyAlignment="1">
      <alignment horizontal="center" vertical="center" wrapText="1"/>
    </xf>
    <xf numFmtId="0" fontId="28" fillId="8" borderId="16" xfId="0" applyFont="1" applyFill="1" applyBorder="1" applyAlignment="1">
      <alignment horizontal="center" vertical="center" wrapText="1"/>
    </xf>
    <xf numFmtId="0" fontId="29" fillId="4" borderId="16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horizontal="center" vertical="center"/>
    </xf>
    <xf numFmtId="0" fontId="31" fillId="19" borderId="1" xfId="0" applyFont="1" applyFill="1" applyBorder="1" applyAlignment="1">
      <alignment horizontal="center" vertical="center"/>
    </xf>
    <xf numFmtId="0" fontId="32" fillId="7" borderId="1" xfId="0" applyFont="1" applyFill="1" applyBorder="1" applyAlignment="1">
      <alignment horizontal="center" vertical="center"/>
    </xf>
    <xf numFmtId="0" fontId="33" fillId="6" borderId="1" xfId="0" applyFont="1" applyFill="1" applyBorder="1" applyAlignment="1">
      <alignment horizontal="center" vertical="center"/>
    </xf>
    <xf numFmtId="0" fontId="34" fillId="10" borderId="1" xfId="0" applyFont="1" applyFill="1" applyBorder="1" applyAlignment="1">
      <alignment horizontal="center" vertical="center"/>
    </xf>
    <xf numFmtId="0" fontId="35" fillId="8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14" fillId="18" borderId="17" xfId="0" applyFont="1" applyFill="1" applyBorder="1" applyAlignment="1">
      <alignment horizontal="center" vertical="center"/>
    </xf>
    <xf numFmtId="0" fontId="41" fillId="3" borderId="0" xfId="0" applyFont="1" applyFill="1" applyAlignment="1">
      <alignment horizontal="left" vertical="center" wrapText="1"/>
    </xf>
    <xf numFmtId="0" fontId="14" fillId="2" borderId="19" xfId="0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center" vertical="center" wrapText="1"/>
    </xf>
    <xf numFmtId="0" fontId="17" fillId="17" borderId="16" xfId="0" applyFont="1" applyFill="1" applyBorder="1" applyAlignment="1">
      <alignment horizontal="center" vertical="center" wrapText="1"/>
    </xf>
    <xf numFmtId="0" fontId="4" fillId="16" borderId="16" xfId="0" applyFont="1" applyFill="1" applyBorder="1" applyAlignment="1">
      <alignment horizontal="left" vertical="center" wrapText="1"/>
    </xf>
    <xf numFmtId="0" fontId="4" fillId="16" borderId="16" xfId="0" applyFont="1" applyFill="1" applyBorder="1" applyAlignment="1">
      <alignment horizontal="center" vertical="center" wrapText="1"/>
    </xf>
    <xf numFmtId="0" fontId="8" fillId="7" borderId="16" xfId="0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center" vertical="center" wrapText="1"/>
    </xf>
    <xf numFmtId="0" fontId="17" fillId="17" borderId="1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 vertical="center" wrapText="1"/>
    </xf>
    <xf numFmtId="0" fontId="14" fillId="2" borderId="25" xfId="0" applyFont="1" applyFill="1" applyBorder="1" applyAlignment="1">
      <alignment horizontal="center" vertical="center" wrapText="1"/>
    </xf>
    <xf numFmtId="0" fontId="42" fillId="1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horizontal="center" vertical="center"/>
    </xf>
    <xf numFmtId="0" fontId="14" fillId="12" borderId="5" xfId="0" applyFont="1" applyFill="1" applyBorder="1" applyAlignment="1">
      <alignment horizontal="center" vertical="center"/>
    </xf>
    <xf numFmtId="0" fontId="14" fillId="13" borderId="6" xfId="0" applyFont="1" applyFill="1" applyBorder="1" applyAlignment="1">
      <alignment horizontal="center" vertical="center"/>
    </xf>
    <xf numFmtId="0" fontId="14" fillId="14" borderId="7" xfId="0" applyFont="1" applyFill="1" applyBorder="1" applyAlignment="1">
      <alignment horizontal="center" vertical="center"/>
    </xf>
    <xf numFmtId="0" fontId="14" fillId="15" borderId="8" xfId="0" applyFont="1" applyFill="1" applyBorder="1" applyAlignment="1">
      <alignment horizontal="center" vertical="center"/>
    </xf>
    <xf numFmtId="0" fontId="16" fillId="11" borderId="10" xfId="0" applyFont="1" applyFill="1" applyBorder="1" applyAlignment="1">
      <alignment horizontal="center" vertical="center"/>
    </xf>
    <xf numFmtId="0" fontId="16" fillId="14" borderId="11" xfId="0" applyFont="1" applyFill="1" applyBorder="1" applyAlignment="1">
      <alignment horizontal="center" vertical="center"/>
    </xf>
    <xf numFmtId="0" fontId="16" fillId="13" borderId="12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14" borderId="13" xfId="0" applyFont="1" applyFill="1" applyBorder="1" applyAlignment="1">
      <alignment horizontal="center" vertical="center"/>
    </xf>
    <xf numFmtId="0" fontId="20" fillId="11" borderId="10" xfId="0" applyFont="1" applyFill="1" applyBorder="1" applyAlignment="1">
      <alignment horizontal="center" vertical="center"/>
    </xf>
    <xf numFmtId="0" fontId="20" fillId="18" borderId="14" xfId="0" applyFont="1" applyFill="1" applyBorder="1" applyAlignment="1">
      <alignment horizontal="center" vertical="center"/>
    </xf>
    <xf numFmtId="0" fontId="20" fillId="15" borderId="15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1" fillId="14" borderId="13" xfId="0" applyFont="1" applyFill="1" applyBorder="1" applyAlignment="1">
      <alignment horizontal="center" vertical="center"/>
    </xf>
    <xf numFmtId="0" fontId="21" fillId="11" borderId="10" xfId="0" applyFont="1" applyFill="1" applyBorder="1" applyAlignment="1">
      <alignment horizontal="center" vertical="center"/>
    </xf>
    <xf numFmtId="0" fontId="21" fillId="18" borderId="14" xfId="0" applyFont="1" applyFill="1" applyBorder="1" applyAlignment="1">
      <alignment horizontal="center" vertical="center"/>
    </xf>
    <xf numFmtId="0" fontId="21" fillId="15" borderId="15" xfId="0" applyFont="1" applyFill="1" applyBorder="1" applyAlignment="1">
      <alignment horizontal="center" vertical="center"/>
    </xf>
    <xf numFmtId="0" fontId="0" fillId="2" borderId="0" xfId="0" applyFill="1"/>
    <xf numFmtId="0" fontId="0" fillId="14" borderId="13" xfId="0" applyFill="1" applyBorder="1"/>
    <xf numFmtId="0" fontId="0" fillId="11" borderId="10" xfId="0" applyFill="1" applyBorder="1"/>
    <xf numFmtId="0" fontId="0" fillId="18" borderId="14" xfId="0" applyFill="1" applyBorder="1"/>
    <xf numFmtId="0" fontId="0" fillId="15" borderId="15" xfId="0" applyFill="1" applyBorder="1"/>
    <xf numFmtId="0" fontId="22" fillId="2" borderId="0" xfId="0" applyFont="1" applyFill="1" applyAlignment="1">
      <alignment horizontal="center" vertical="center"/>
    </xf>
    <xf numFmtId="0" fontId="9" fillId="8" borderId="16" xfId="0" applyFont="1" applyFill="1" applyBorder="1" applyAlignment="1">
      <alignment horizontal="center" vertical="center"/>
    </xf>
    <xf numFmtId="0" fontId="8" fillId="7" borderId="16" xfId="0" applyFont="1" applyFill="1" applyBorder="1" applyAlignment="1">
      <alignment horizontal="center" vertical="center"/>
    </xf>
    <xf numFmtId="0" fontId="10" fillId="9" borderId="16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37" fillId="8" borderId="1" xfId="0" applyFont="1" applyFill="1" applyBorder="1" applyAlignment="1">
      <alignment horizontal="center" vertical="center"/>
    </xf>
    <xf numFmtId="0" fontId="38" fillId="7" borderId="1" xfId="0" applyFont="1" applyFill="1" applyBorder="1" applyAlignment="1">
      <alignment horizontal="center" vertical="center"/>
    </xf>
    <xf numFmtId="0" fontId="39" fillId="9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DF5F8"/>
      <rgbColor rgb="FFFF00FF"/>
      <rgbColor rgb="FF00FFFF"/>
      <rgbColor rgb="FF791F1F"/>
      <rgbColor rgb="FF3B6D11"/>
      <rgbColor rgb="FF000080"/>
      <rgbColor rgb="FFBA7517"/>
      <rgbColor rgb="FF800080"/>
      <rgbColor rgb="FF39575B"/>
      <rgbColor rgb="FFDDCCCC"/>
      <rgbColor rgb="FF888780"/>
      <rgbColor rgb="FF7F77DD"/>
      <rgbColor rgb="FF993556"/>
      <rgbColor rgb="FFFAEEDA"/>
      <rgbColor rgb="FFE1F5EE"/>
      <rgbColor rgb="FF660066"/>
      <rgbColor rgb="FFFF8080"/>
      <rgbColor rgb="FF185FA5"/>
      <rgbColor rgb="FFDDDDDD"/>
      <rgbColor rgb="FF000080"/>
      <rgbColor rgb="FFFF00FF"/>
      <rgbColor rgb="FFFFFF00"/>
      <rgbColor rgb="FF00FFFF"/>
      <rgbColor rgb="FF800080"/>
      <rgbColor rgb="FF633806"/>
      <rgbColor rgb="FF008080"/>
      <rgbColor rgb="FF0000FF"/>
      <rgbColor rgb="FF00CCFF"/>
      <rgbColor rgb="FFE6F1FB"/>
      <rgbColor rgb="FFEAF3DE"/>
      <rgbColor rgb="FFF5F4F2"/>
      <rgbColor rgb="FFE5EDEF"/>
      <rgbColor rgb="FFFBEAF0"/>
      <rgbColor rgb="FFEEEDFE"/>
      <rgbColor rgb="FFFCEBEB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C447C"/>
      <rgbColor rgb="FF1D9E75"/>
      <rgbColor rgb="FF085041"/>
      <rgbColor rgb="FF27500A"/>
      <rgbColor rgb="FFA32D2D"/>
      <rgbColor rgb="FFD4537E"/>
      <rgbColor rgb="FF3C348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1-UPB">
  <a:themeElements>
    <a:clrScheme name="UPB">
      <a:dk1>
        <a:srgbClr val="000000"/>
      </a:dk1>
      <a:lt1>
        <a:srgbClr val="FFFFFF"/>
      </a:lt1>
      <a:dk2>
        <a:srgbClr val="000087"/>
      </a:dk2>
      <a:lt2>
        <a:srgbClr val="5882F8"/>
      </a:lt2>
      <a:accent1>
        <a:srgbClr val="D0EB00"/>
      </a:accent1>
      <a:accent2>
        <a:srgbClr val="AD3DFF"/>
      </a:accent2>
      <a:accent3>
        <a:srgbClr val="DF7D00"/>
      </a:accent3>
      <a:accent4>
        <a:srgbClr val="FFCD28"/>
      </a:accent4>
      <a:accent5>
        <a:srgbClr val="E50213"/>
      </a:accent5>
      <a:accent6>
        <a:srgbClr val="7CA7AD"/>
      </a:accent6>
      <a:hlink>
        <a:srgbClr val="000087"/>
      </a:hlink>
      <a:folHlink>
        <a:srgbClr val="FFCD28"/>
      </a:folHlink>
    </a:clrScheme>
    <a:fontScheme name="Roboto">
      <a:majorFont>
        <a:latin typeface="Roboto"/>
        <a:ea typeface=""/>
        <a:cs typeface=""/>
      </a:majorFont>
      <a:minorFont>
        <a:latin typeface="Roboto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showGridLines="0" zoomScaleNormal="100" workbookViewId="0">
      <selection activeCell="C33" sqref="C33"/>
    </sheetView>
  </sheetViews>
  <sheetFormatPr baseColWidth="10" defaultColWidth="8.796875" defaultRowHeight="14.4" x14ac:dyDescent="0.3"/>
  <cols>
    <col min="1" max="2" width="26" customWidth="1"/>
    <col min="3" max="4" width="30" customWidth="1"/>
    <col min="5" max="8" width="20" customWidth="1"/>
  </cols>
  <sheetData>
    <row r="1" spans="1:8" ht="60" customHeight="1" x14ac:dyDescent="0.3">
      <c r="A1" s="13" t="s">
        <v>0</v>
      </c>
      <c r="B1" s="13"/>
      <c r="C1" s="13"/>
      <c r="D1" s="13"/>
      <c r="E1" s="13"/>
      <c r="F1" s="13"/>
      <c r="G1" s="13"/>
      <c r="H1" s="13"/>
    </row>
    <row r="2" spans="1:8" ht="24" customHeight="1" x14ac:dyDescent="0.3">
      <c r="A2" s="12" t="s">
        <v>1</v>
      </c>
      <c r="B2" s="12"/>
      <c r="C2" s="12"/>
      <c r="D2" s="12"/>
      <c r="E2" s="12"/>
      <c r="F2" s="12"/>
      <c r="G2" s="12"/>
      <c r="H2" s="12"/>
    </row>
    <row r="3" spans="1:8" ht="6" customHeight="1" x14ac:dyDescent="0.3"/>
    <row r="4" spans="1:8" ht="15" customHeight="1" x14ac:dyDescent="0.3">
      <c r="A4" s="11" t="s">
        <v>2</v>
      </c>
      <c r="B4" s="11"/>
      <c r="C4" s="11"/>
      <c r="D4" s="11"/>
      <c r="E4" s="11"/>
      <c r="F4" s="11"/>
      <c r="G4" s="11"/>
      <c r="H4" s="11"/>
    </row>
    <row r="5" spans="1:8" ht="15" customHeight="1" x14ac:dyDescent="0.3">
      <c r="A5" s="10" t="s">
        <v>3</v>
      </c>
      <c r="B5" s="10"/>
      <c r="C5" s="10"/>
      <c r="D5" s="10"/>
      <c r="E5" s="10"/>
      <c r="F5" s="10"/>
      <c r="G5" s="10"/>
      <c r="H5" s="10"/>
    </row>
    <row r="6" spans="1:8" x14ac:dyDescent="0.3">
      <c r="A6" s="10"/>
      <c r="B6" s="10"/>
      <c r="C6" s="10"/>
      <c r="D6" s="10"/>
      <c r="E6" s="10"/>
      <c r="F6" s="10"/>
      <c r="G6" s="10"/>
      <c r="H6" s="10"/>
    </row>
    <row r="7" spans="1:8" x14ac:dyDescent="0.3">
      <c r="A7" s="10"/>
      <c r="B7" s="10"/>
      <c r="C7" s="10"/>
      <c r="D7" s="10"/>
      <c r="E7" s="10"/>
      <c r="F7" s="10"/>
      <c r="G7" s="10"/>
      <c r="H7" s="10"/>
    </row>
    <row r="8" spans="1:8" x14ac:dyDescent="0.3">
      <c r="A8" s="10"/>
      <c r="B8" s="10"/>
      <c r="C8" s="10"/>
      <c r="D8" s="10"/>
      <c r="E8" s="10"/>
      <c r="F8" s="10"/>
      <c r="G8" s="10"/>
      <c r="H8" s="10"/>
    </row>
    <row r="9" spans="1:8" ht="15" customHeight="1" x14ac:dyDescent="0.3">
      <c r="A9" s="11" t="s">
        <v>4</v>
      </c>
      <c r="B9" s="11"/>
      <c r="C9" s="11"/>
      <c r="D9" s="11"/>
      <c r="E9" s="11"/>
      <c r="F9" s="11"/>
      <c r="G9" s="11"/>
      <c r="H9" s="11"/>
    </row>
    <row r="10" spans="1:8" ht="21.75" customHeight="1" x14ac:dyDescent="0.3">
      <c r="A10" s="9" t="s">
        <v>5</v>
      </c>
      <c r="B10" s="9"/>
      <c r="C10" s="10" t="s">
        <v>6</v>
      </c>
      <c r="D10" s="10"/>
      <c r="E10" s="10"/>
      <c r="F10" s="10"/>
      <c r="G10" s="10"/>
      <c r="H10" s="10"/>
    </row>
    <row r="11" spans="1:8" ht="21.75" customHeight="1" x14ac:dyDescent="0.3">
      <c r="A11" s="9" t="s">
        <v>7</v>
      </c>
      <c r="B11" s="9"/>
      <c r="C11" s="10" t="s">
        <v>8</v>
      </c>
      <c r="D11" s="10"/>
      <c r="E11" s="10"/>
      <c r="F11" s="10"/>
      <c r="G11" s="10"/>
      <c r="H11" s="10"/>
    </row>
    <row r="12" spans="1:8" ht="21.75" customHeight="1" x14ac:dyDescent="0.3">
      <c r="A12" s="9" t="s">
        <v>9</v>
      </c>
      <c r="B12" s="9"/>
      <c r="C12" s="10" t="s">
        <v>10</v>
      </c>
      <c r="D12" s="10"/>
      <c r="E12" s="10"/>
      <c r="F12" s="10"/>
      <c r="G12" s="10"/>
      <c r="H12" s="10"/>
    </row>
    <row r="13" spans="1:8" ht="21.75" customHeight="1" x14ac:dyDescent="0.3">
      <c r="A13" s="9" t="s">
        <v>11</v>
      </c>
      <c r="B13" s="9"/>
      <c r="C13" s="10" t="s">
        <v>12</v>
      </c>
      <c r="D13" s="10"/>
      <c r="E13" s="10"/>
      <c r="F13" s="10"/>
      <c r="G13" s="10"/>
      <c r="H13" s="10"/>
    </row>
    <row r="14" spans="1:8" ht="21.75" customHeight="1" x14ac:dyDescent="0.3">
      <c r="A14" s="9" t="s">
        <v>13</v>
      </c>
      <c r="B14" s="9"/>
      <c r="C14" s="10" t="s">
        <v>14</v>
      </c>
      <c r="D14" s="10"/>
      <c r="E14" s="10"/>
      <c r="F14" s="10"/>
      <c r="G14" s="10"/>
      <c r="H14" s="10"/>
    </row>
    <row r="15" spans="1:8" ht="7.5" customHeight="1" x14ac:dyDescent="0.3"/>
    <row r="16" spans="1:8" x14ac:dyDescent="0.3">
      <c r="A16" s="8" t="s">
        <v>15</v>
      </c>
      <c r="B16" s="8"/>
      <c r="C16" s="8"/>
      <c r="D16" s="8"/>
      <c r="E16" s="8"/>
      <c r="F16" s="8"/>
      <c r="G16" s="8"/>
      <c r="H16" s="8"/>
    </row>
    <row r="17" spans="1:8" ht="19.5" customHeight="1" x14ac:dyDescent="0.3">
      <c r="A17" s="7" t="s">
        <v>16</v>
      </c>
      <c r="B17" s="7"/>
      <c r="C17" s="7"/>
      <c r="D17" s="6" t="s">
        <v>17</v>
      </c>
      <c r="E17" s="6"/>
      <c r="F17" s="6"/>
      <c r="G17" s="6"/>
      <c r="H17" s="6"/>
    </row>
    <row r="18" spans="1:8" ht="19.5" customHeight="1" x14ac:dyDescent="0.3">
      <c r="A18" s="5" t="s">
        <v>18</v>
      </c>
      <c r="B18" s="5"/>
      <c r="C18" s="5"/>
      <c r="D18" s="6" t="s">
        <v>19</v>
      </c>
      <c r="E18" s="6"/>
      <c r="F18" s="6"/>
      <c r="G18" s="6"/>
      <c r="H18" s="6"/>
    </row>
    <row r="19" spans="1:8" ht="19.5" customHeight="1" x14ac:dyDescent="0.3">
      <c r="A19" s="4" t="s">
        <v>20</v>
      </c>
      <c r="B19" s="4"/>
      <c r="C19" s="4"/>
      <c r="D19" s="6" t="s">
        <v>21</v>
      </c>
      <c r="E19" s="6"/>
      <c r="F19" s="6"/>
      <c r="G19" s="6"/>
      <c r="H19" s="6"/>
    </row>
    <row r="20" spans="1:8" ht="19.5" customHeight="1" x14ac:dyDescent="0.3">
      <c r="A20" s="3" t="s">
        <v>22</v>
      </c>
      <c r="B20" s="3"/>
      <c r="C20" s="3"/>
      <c r="D20" s="6" t="s">
        <v>23</v>
      </c>
      <c r="E20" s="6"/>
      <c r="F20" s="6"/>
      <c r="G20" s="6"/>
      <c r="H20" s="6"/>
    </row>
    <row r="21" spans="1:8" ht="19.5" customHeight="1" x14ac:dyDescent="0.3">
      <c r="A21" s="2" t="s">
        <v>24</v>
      </c>
      <c r="B21" s="2"/>
      <c r="C21" s="2"/>
      <c r="D21" s="6" t="s">
        <v>25</v>
      </c>
      <c r="E21" s="6"/>
      <c r="F21" s="6"/>
      <c r="G21" s="6"/>
      <c r="H21" s="6"/>
    </row>
    <row r="22" spans="1:8" ht="19.5" customHeight="1" x14ac:dyDescent="0.3">
      <c r="A22" s="1" t="s">
        <v>26</v>
      </c>
      <c r="B22" s="1"/>
      <c r="C22" s="1"/>
      <c r="D22" s="6" t="s">
        <v>27</v>
      </c>
      <c r="E22" s="6"/>
      <c r="F22" s="6"/>
      <c r="G22" s="6"/>
      <c r="H22" s="6"/>
    </row>
    <row r="23" spans="1:8" ht="7.5" customHeight="1" x14ac:dyDescent="0.3"/>
    <row r="24" spans="1:8" x14ac:dyDescent="0.3">
      <c r="A24" s="8" t="s">
        <v>28</v>
      </c>
      <c r="B24" s="8"/>
      <c r="C24" s="8"/>
      <c r="D24" s="8"/>
      <c r="E24" s="8"/>
      <c r="F24" s="8"/>
      <c r="G24" s="8"/>
      <c r="H24" s="8"/>
    </row>
    <row r="25" spans="1:8" ht="19.5" customHeight="1" x14ac:dyDescent="0.3">
      <c r="A25" s="75" t="s">
        <v>29</v>
      </c>
      <c r="B25" s="75"/>
      <c r="C25" s="75"/>
      <c r="D25" s="75"/>
      <c r="E25" s="75"/>
      <c r="F25" s="75"/>
      <c r="G25" s="75"/>
      <c r="H25" s="75"/>
    </row>
    <row r="26" spans="1:8" ht="19.5" customHeight="1" x14ac:dyDescent="0.3">
      <c r="A26" s="10" t="s">
        <v>30</v>
      </c>
      <c r="B26" s="10"/>
      <c r="C26" s="10"/>
      <c r="D26" s="10"/>
      <c r="E26" s="10"/>
      <c r="F26" s="10"/>
      <c r="G26" s="10"/>
      <c r="H26" s="10"/>
    </row>
    <row r="27" spans="1:8" ht="19.5" customHeight="1" x14ac:dyDescent="0.3">
      <c r="A27" s="75" t="s">
        <v>31</v>
      </c>
      <c r="B27" s="75"/>
      <c r="C27" s="75"/>
      <c r="D27" s="75"/>
      <c r="E27" s="75"/>
      <c r="F27" s="75"/>
      <c r="G27" s="75"/>
      <c r="H27" s="75"/>
    </row>
    <row r="28" spans="1:8" ht="19.5" customHeight="1" x14ac:dyDescent="0.3">
      <c r="A28" s="10" t="s">
        <v>32</v>
      </c>
      <c r="B28" s="10"/>
      <c r="C28" s="10"/>
      <c r="D28" s="10"/>
      <c r="E28" s="10"/>
      <c r="F28" s="10"/>
      <c r="G28" s="10"/>
      <c r="H28" s="10"/>
    </row>
    <row r="29" spans="1:8" ht="19.5" customHeight="1" x14ac:dyDescent="0.3">
      <c r="A29" s="75" t="s">
        <v>33</v>
      </c>
      <c r="B29" s="75"/>
      <c r="C29" s="75"/>
      <c r="D29" s="75"/>
      <c r="E29" s="75"/>
      <c r="F29" s="75"/>
      <c r="G29" s="75"/>
      <c r="H29" s="75"/>
    </row>
    <row r="30" spans="1:8" ht="19.5" customHeight="1" x14ac:dyDescent="0.3">
      <c r="A30" s="10" t="s">
        <v>34</v>
      </c>
      <c r="B30" s="10"/>
      <c r="C30" s="10"/>
      <c r="D30" s="10"/>
      <c r="E30" s="10"/>
      <c r="F30" s="10"/>
      <c r="G30" s="10"/>
      <c r="H30" s="10"/>
    </row>
    <row r="31" spans="1:8" ht="19.5" customHeight="1" x14ac:dyDescent="0.3">
      <c r="A31" s="75" t="s">
        <v>35</v>
      </c>
      <c r="B31" s="75"/>
      <c r="C31" s="75"/>
      <c r="D31" s="75"/>
      <c r="E31" s="75"/>
      <c r="F31" s="75"/>
      <c r="G31" s="75"/>
      <c r="H31" s="75"/>
    </row>
  </sheetData>
  <mergeCells count="36">
    <mergeCell ref="A29:H29"/>
    <mergeCell ref="A30:H30"/>
    <mergeCell ref="A31:H31"/>
    <mergeCell ref="A24:H24"/>
    <mergeCell ref="A25:H25"/>
    <mergeCell ref="A26:H26"/>
    <mergeCell ref="A27:H27"/>
    <mergeCell ref="A28:H28"/>
    <mergeCell ref="A20:C20"/>
    <mergeCell ref="D20:H20"/>
    <mergeCell ref="A21:C21"/>
    <mergeCell ref="D21:H21"/>
    <mergeCell ref="A22:C22"/>
    <mergeCell ref="D22:H22"/>
    <mergeCell ref="A17:C17"/>
    <mergeCell ref="D17:H17"/>
    <mergeCell ref="A18:C18"/>
    <mergeCell ref="D18:H18"/>
    <mergeCell ref="A19:C19"/>
    <mergeCell ref="D19:H19"/>
    <mergeCell ref="A13:B13"/>
    <mergeCell ref="C13:H13"/>
    <mergeCell ref="A14:B14"/>
    <mergeCell ref="C14:H14"/>
    <mergeCell ref="A16:H16"/>
    <mergeCell ref="A10:B10"/>
    <mergeCell ref="C10:H10"/>
    <mergeCell ref="A11:B11"/>
    <mergeCell ref="C11:H11"/>
    <mergeCell ref="A12:B12"/>
    <mergeCell ref="C12:H12"/>
    <mergeCell ref="A1:H1"/>
    <mergeCell ref="A2:H2"/>
    <mergeCell ref="A4:H4"/>
    <mergeCell ref="A5:H8"/>
    <mergeCell ref="A9:H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5"/>
  <sheetViews>
    <sheetView showGridLines="0" tabSelected="1" topLeftCell="B1" zoomScale="130" zoomScaleNormal="130" workbookViewId="0">
      <pane ySplit="2" topLeftCell="A3" activePane="bottomLeft" state="frozen"/>
      <selection pane="bottomLeft" activeCell="H6" sqref="H6"/>
    </sheetView>
  </sheetViews>
  <sheetFormatPr baseColWidth="10" defaultColWidth="8.796875" defaultRowHeight="14.4" x14ac:dyDescent="0.3"/>
  <cols>
    <col min="1" max="1" width="12" customWidth="1"/>
    <col min="2" max="2" width="28" customWidth="1"/>
    <col min="3" max="3" width="12" customWidth="1"/>
    <col min="4" max="4" width="14" customWidth="1"/>
    <col min="5" max="5" width="18" customWidth="1"/>
    <col min="6" max="6" width="12" customWidth="1"/>
    <col min="7" max="7" width="10" customWidth="1"/>
    <col min="8" max="8" width="30" customWidth="1"/>
    <col min="9" max="9" width="16" customWidth="1"/>
    <col min="10" max="10" width="14" customWidth="1"/>
    <col min="11" max="11" width="18" customWidth="1"/>
    <col min="12" max="14" width="14" customWidth="1"/>
    <col min="15" max="15" width="16" customWidth="1"/>
    <col min="16" max="16" width="12" customWidth="1"/>
    <col min="17" max="17" width="14" customWidth="1"/>
    <col min="18" max="18" width="30" customWidth="1"/>
  </cols>
  <sheetData>
    <row r="1" spans="1:18" ht="36" customHeight="1" x14ac:dyDescent="0.3">
      <c r="A1" s="76" t="s">
        <v>36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</row>
    <row r="2" spans="1:18" ht="36" customHeight="1" x14ac:dyDescent="0.3">
      <c r="A2" s="77" t="s">
        <v>37</v>
      </c>
      <c r="B2" s="77"/>
      <c r="C2" s="77"/>
      <c r="D2" s="78" t="s">
        <v>38</v>
      </c>
      <c r="E2" s="78"/>
      <c r="F2" s="78"/>
      <c r="G2" s="79" t="s">
        <v>39</v>
      </c>
      <c r="H2" s="79"/>
      <c r="I2" s="80" t="s">
        <v>40</v>
      </c>
      <c r="J2" s="80"/>
      <c r="K2" s="80"/>
      <c r="L2" s="81" t="s">
        <v>41</v>
      </c>
      <c r="M2" s="81"/>
      <c r="N2" s="81"/>
      <c r="O2" s="82" t="s">
        <v>42</v>
      </c>
      <c r="P2" s="82"/>
      <c r="Q2" s="82"/>
      <c r="R2" s="82"/>
    </row>
    <row r="3" spans="1:18" ht="75" customHeight="1" x14ac:dyDescent="0.3">
      <c r="A3" s="16" t="s">
        <v>43</v>
      </c>
      <c r="B3" s="16" t="s">
        <v>44</v>
      </c>
      <c r="C3" s="16" t="s">
        <v>45</v>
      </c>
      <c r="D3" s="17" t="s">
        <v>46</v>
      </c>
      <c r="E3" s="17" t="s">
        <v>47</v>
      </c>
      <c r="F3" s="17" t="s">
        <v>48</v>
      </c>
      <c r="G3" s="18" t="s">
        <v>49</v>
      </c>
      <c r="H3" s="18" t="s">
        <v>50</v>
      </c>
      <c r="I3" s="19" t="s">
        <v>51</v>
      </c>
      <c r="J3" s="19" t="s">
        <v>52</v>
      </c>
      <c r="K3" s="19" t="s">
        <v>53</v>
      </c>
      <c r="L3" s="20" t="s">
        <v>54</v>
      </c>
      <c r="M3" s="20" t="s">
        <v>55</v>
      </c>
      <c r="N3" s="20" t="s">
        <v>56</v>
      </c>
      <c r="O3" s="21" t="s">
        <v>57</v>
      </c>
      <c r="P3" s="21" t="s">
        <v>58</v>
      </c>
      <c r="Q3" s="21" t="s">
        <v>59</v>
      </c>
      <c r="R3" s="21" t="s">
        <v>60</v>
      </c>
    </row>
    <row r="4" spans="1:18" ht="24" customHeight="1" x14ac:dyDescent="0.3">
      <c r="A4" s="22" t="s">
        <v>61</v>
      </c>
      <c r="B4" s="15" t="s">
        <v>62</v>
      </c>
      <c r="C4" s="23" t="s">
        <v>63</v>
      </c>
      <c r="D4" s="15" t="s">
        <v>64</v>
      </c>
      <c r="E4" s="15" t="s">
        <v>65</v>
      </c>
      <c r="F4" s="24" t="s">
        <v>66</v>
      </c>
      <c r="G4" s="23" t="s">
        <v>67</v>
      </c>
      <c r="H4" s="15" t="s">
        <v>68</v>
      </c>
      <c r="I4" s="15" t="s">
        <v>69</v>
      </c>
      <c r="J4" s="23" t="s">
        <v>70</v>
      </c>
      <c r="K4" s="15" t="s">
        <v>235</v>
      </c>
      <c r="L4" s="23" t="s">
        <v>71</v>
      </c>
      <c r="M4" s="25" t="s">
        <v>72</v>
      </c>
      <c r="N4" s="23" t="s">
        <v>73</v>
      </c>
      <c r="O4" s="25" t="s">
        <v>74</v>
      </c>
      <c r="P4" s="23" t="s">
        <v>75</v>
      </c>
      <c r="Q4" s="23" t="s">
        <v>73</v>
      </c>
      <c r="R4" s="15" t="s">
        <v>76</v>
      </c>
    </row>
    <row r="5" spans="1:18" ht="24" customHeight="1" x14ac:dyDescent="0.3">
      <c r="A5" s="26" t="s">
        <v>77</v>
      </c>
      <c r="B5" s="27" t="s">
        <v>78</v>
      </c>
      <c r="C5" s="28" t="s">
        <v>63</v>
      </c>
      <c r="D5" s="27" t="s">
        <v>79</v>
      </c>
      <c r="E5" s="27" t="s">
        <v>80</v>
      </c>
      <c r="F5" s="24" t="s">
        <v>66</v>
      </c>
      <c r="G5" s="28" t="s">
        <v>67</v>
      </c>
      <c r="H5" s="27" t="s">
        <v>81</v>
      </c>
      <c r="I5" s="27" t="s">
        <v>82</v>
      </c>
      <c r="J5" s="28" t="s">
        <v>70</v>
      </c>
      <c r="K5" s="27" t="s">
        <v>235</v>
      </c>
      <c r="L5" s="28" t="s">
        <v>83</v>
      </c>
      <c r="M5" s="25" t="s">
        <v>72</v>
      </c>
      <c r="N5" s="28" t="s">
        <v>73</v>
      </c>
      <c r="O5" s="25" t="s">
        <v>74</v>
      </c>
      <c r="P5" s="28" t="s">
        <v>84</v>
      </c>
      <c r="Q5" s="28" t="s">
        <v>73</v>
      </c>
      <c r="R5" s="27" t="s">
        <v>85</v>
      </c>
    </row>
    <row r="6" spans="1:18" ht="24" customHeight="1" x14ac:dyDescent="0.3">
      <c r="A6" s="22" t="s">
        <v>86</v>
      </c>
      <c r="B6" s="15" t="s">
        <v>87</v>
      </c>
      <c r="C6" s="23" t="s">
        <v>63</v>
      </c>
      <c r="D6" s="15" t="s">
        <v>64</v>
      </c>
      <c r="E6" s="15" t="s">
        <v>65</v>
      </c>
      <c r="F6" s="24" t="s">
        <v>66</v>
      </c>
      <c r="G6" s="23" t="s">
        <v>67</v>
      </c>
      <c r="H6" s="15" t="s">
        <v>88</v>
      </c>
      <c r="I6" s="15" t="s">
        <v>89</v>
      </c>
      <c r="J6" s="23" t="s">
        <v>70</v>
      </c>
      <c r="K6" s="15" t="s">
        <v>235</v>
      </c>
      <c r="L6" s="23" t="s">
        <v>90</v>
      </c>
      <c r="M6" s="25" t="s">
        <v>72</v>
      </c>
      <c r="N6" s="23" t="s">
        <v>73</v>
      </c>
      <c r="O6" s="25" t="s">
        <v>74</v>
      </c>
      <c r="P6" s="23" t="s">
        <v>75</v>
      </c>
      <c r="Q6" s="23" t="s">
        <v>73</v>
      </c>
      <c r="R6" s="15"/>
    </row>
    <row r="7" spans="1:18" ht="24" customHeight="1" x14ac:dyDescent="0.3">
      <c r="A7" s="26" t="s">
        <v>91</v>
      </c>
      <c r="B7" s="27" t="s">
        <v>92</v>
      </c>
      <c r="C7" s="28" t="s">
        <v>63</v>
      </c>
      <c r="D7" s="27" t="s">
        <v>64</v>
      </c>
      <c r="E7" s="27" t="s">
        <v>65</v>
      </c>
      <c r="F7" s="29" t="s">
        <v>66</v>
      </c>
      <c r="G7" s="28" t="s">
        <v>67</v>
      </c>
      <c r="H7" s="27" t="s">
        <v>93</v>
      </c>
      <c r="I7" s="27" t="s">
        <v>94</v>
      </c>
      <c r="J7" s="28" t="s">
        <v>70</v>
      </c>
      <c r="K7" s="27" t="s">
        <v>235</v>
      </c>
      <c r="L7" s="28" t="s">
        <v>95</v>
      </c>
      <c r="M7" s="25" t="s">
        <v>72</v>
      </c>
      <c r="N7" s="28" t="s">
        <v>73</v>
      </c>
      <c r="O7" s="25" t="s">
        <v>74</v>
      </c>
      <c r="P7" s="28" t="s">
        <v>75</v>
      </c>
      <c r="Q7" s="28" t="s">
        <v>73</v>
      </c>
      <c r="R7" s="27" t="s">
        <v>96</v>
      </c>
    </row>
    <row r="8" spans="1:18" ht="24" customHeight="1" x14ac:dyDescent="0.3">
      <c r="A8" s="22" t="s">
        <v>97</v>
      </c>
      <c r="B8" s="15" t="s">
        <v>98</v>
      </c>
      <c r="C8" s="23" t="s">
        <v>63</v>
      </c>
      <c r="D8" s="15" t="s">
        <v>64</v>
      </c>
      <c r="E8" s="15" t="s">
        <v>65</v>
      </c>
      <c r="F8" s="24" t="s">
        <v>99</v>
      </c>
      <c r="G8" s="23" t="s">
        <v>100</v>
      </c>
      <c r="H8" s="15" t="s">
        <v>101</v>
      </c>
      <c r="I8" s="15" t="s">
        <v>102</v>
      </c>
      <c r="J8" s="23" t="s">
        <v>70</v>
      </c>
      <c r="K8" s="15" t="s">
        <v>235</v>
      </c>
      <c r="L8" s="23"/>
      <c r="M8" s="25"/>
      <c r="N8" s="23"/>
      <c r="O8" s="25" t="s">
        <v>103</v>
      </c>
      <c r="P8" s="23" t="s">
        <v>104</v>
      </c>
      <c r="Q8" s="23" t="s">
        <v>73</v>
      </c>
      <c r="R8" s="15" t="s">
        <v>105</v>
      </c>
    </row>
    <row r="9" spans="1:18" ht="24" customHeight="1" x14ac:dyDescent="0.3">
      <c r="A9" s="26" t="s">
        <v>106</v>
      </c>
      <c r="B9" s="27" t="s">
        <v>107</v>
      </c>
      <c r="C9" s="28" t="s">
        <v>63</v>
      </c>
      <c r="D9" s="27" t="s">
        <v>108</v>
      </c>
      <c r="E9" s="27" t="s">
        <v>65</v>
      </c>
      <c r="F9" s="24" t="s">
        <v>109</v>
      </c>
      <c r="G9" s="28" t="s">
        <v>100</v>
      </c>
      <c r="H9" s="27" t="s">
        <v>110</v>
      </c>
      <c r="I9" s="27" t="s">
        <v>111</v>
      </c>
      <c r="J9" s="28" t="s">
        <v>112</v>
      </c>
      <c r="K9" s="27" t="s">
        <v>235</v>
      </c>
      <c r="L9" s="28"/>
      <c r="M9" s="25"/>
      <c r="N9" s="28"/>
      <c r="O9" s="25" t="s">
        <v>113</v>
      </c>
      <c r="P9" s="28" t="s">
        <v>114</v>
      </c>
      <c r="Q9" s="28" t="s">
        <v>73</v>
      </c>
      <c r="R9" s="27" t="s">
        <v>115</v>
      </c>
    </row>
    <row r="10" spans="1:18" ht="24" customHeight="1" x14ac:dyDescent="0.3">
      <c r="A10" s="22" t="s">
        <v>116</v>
      </c>
      <c r="B10" s="15" t="s">
        <v>117</v>
      </c>
      <c r="C10" s="23" t="s">
        <v>118</v>
      </c>
      <c r="D10" s="15" t="s">
        <v>119</v>
      </c>
      <c r="E10" s="15" t="s">
        <v>120</v>
      </c>
      <c r="F10" s="29" t="s">
        <v>121</v>
      </c>
      <c r="G10" s="23" t="s">
        <v>75</v>
      </c>
      <c r="H10" s="15" t="s">
        <v>122</v>
      </c>
      <c r="I10" s="15" t="s">
        <v>123</v>
      </c>
      <c r="J10" s="23" t="s">
        <v>124</v>
      </c>
      <c r="K10" s="15" t="s">
        <v>235</v>
      </c>
      <c r="L10" s="23"/>
      <c r="M10" s="25"/>
      <c r="N10" s="23"/>
      <c r="O10" s="25" t="s">
        <v>125</v>
      </c>
      <c r="P10" s="23" t="s">
        <v>126</v>
      </c>
      <c r="Q10" s="23" t="s">
        <v>73</v>
      </c>
      <c r="R10" s="15" t="s">
        <v>127</v>
      </c>
    </row>
    <row r="11" spans="1:18" ht="24" customHeight="1" x14ac:dyDescent="0.3">
      <c r="A11" s="26"/>
      <c r="B11" s="27"/>
      <c r="C11" s="28"/>
      <c r="D11" s="27"/>
      <c r="E11" s="27"/>
      <c r="F11" s="29"/>
      <c r="G11" s="28"/>
      <c r="H11" s="27"/>
      <c r="I11" s="27"/>
      <c r="J11" s="28"/>
      <c r="K11" s="27"/>
      <c r="L11" s="28"/>
      <c r="M11" s="24"/>
      <c r="N11" s="28"/>
      <c r="O11" s="29"/>
      <c r="P11" s="28"/>
      <c r="Q11" s="28"/>
      <c r="R11" s="27"/>
    </row>
    <row r="12" spans="1:18" ht="24" customHeight="1" x14ac:dyDescent="0.3">
      <c r="A12" s="22"/>
      <c r="B12" s="15"/>
      <c r="C12" s="23"/>
      <c r="D12" s="15"/>
      <c r="E12" s="15"/>
      <c r="F12" s="24"/>
      <c r="G12" s="23"/>
      <c r="H12" s="15"/>
      <c r="I12" s="15"/>
      <c r="J12" s="23"/>
      <c r="K12" s="15"/>
      <c r="L12" s="23"/>
      <c r="M12" s="25"/>
      <c r="N12" s="23"/>
      <c r="O12" s="25"/>
      <c r="P12" s="23"/>
      <c r="Q12" s="23"/>
      <c r="R12" s="15"/>
    </row>
    <row r="13" spans="1:18" ht="24" customHeight="1" x14ac:dyDescent="0.3">
      <c r="A13" s="26"/>
      <c r="B13" s="27"/>
      <c r="C13" s="28"/>
      <c r="D13" s="27"/>
      <c r="E13" s="27"/>
      <c r="F13" s="30"/>
      <c r="G13" s="28"/>
      <c r="H13" s="27"/>
      <c r="I13" s="27"/>
      <c r="J13" s="28"/>
      <c r="K13" s="27"/>
      <c r="L13" s="28"/>
      <c r="M13" s="29"/>
      <c r="N13" s="28"/>
      <c r="O13" s="30"/>
      <c r="P13" s="28"/>
      <c r="Q13" s="28"/>
      <c r="R13" s="27"/>
    </row>
    <row r="14" spans="1:18" ht="24" customHeight="1" x14ac:dyDescent="0.3">
      <c r="A14" s="22"/>
      <c r="B14" s="15"/>
      <c r="C14" s="23"/>
      <c r="D14" s="15"/>
      <c r="E14" s="15"/>
      <c r="F14" s="24"/>
      <c r="G14" s="23"/>
      <c r="H14" s="15"/>
      <c r="I14" s="15"/>
      <c r="J14" s="23"/>
      <c r="K14" s="15"/>
      <c r="L14" s="23"/>
      <c r="M14" s="24"/>
      <c r="N14" s="23"/>
      <c r="O14" s="29"/>
      <c r="P14" s="23"/>
      <c r="Q14" s="23"/>
      <c r="R14" s="15"/>
    </row>
    <row r="15" spans="1:18" ht="24" customHeight="1" x14ac:dyDescent="0.3">
      <c r="A15" s="26"/>
      <c r="B15" s="27"/>
      <c r="C15" s="28"/>
      <c r="D15" s="27"/>
      <c r="E15" s="27"/>
      <c r="F15" s="24"/>
      <c r="G15" s="28"/>
      <c r="H15" s="27"/>
      <c r="I15" s="27"/>
      <c r="J15" s="28"/>
      <c r="K15" s="27"/>
      <c r="L15" s="28"/>
      <c r="M15" s="29"/>
      <c r="N15" s="28"/>
      <c r="O15" s="30"/>
      <c r="P15" s="28"/>
      <c r="Q15" s="28"/>
      <c r="R15" s="27"/>
    </row>
  </sheetData>
  <mergeCells count="7">
    <mergeCell ref="A1:R1"/>
    <mergeCell ref="A2:C2"/>
    <mergeCell ref="D2:F2"/>
    <mergeCell ref="G2:H2"/>
    <mergeCell ref="I2:K2"/>
    <mergeCell ref="L2:N2"/>
    <mergeCell ref="O2:R2"/>
  </mergeCells>
  <dataValidations count="4">
    <dataValidation type="list" allowBlank="1" sqref="C4:C103" xr:uid="{00000000-0002-0000-0100-000000000000}">
      <formula1>"Funcional,No funcional,Restricción,Interfaz,Rendimiento,Seguridad"</formula1>
      <formula2>0</formula2>
    </dataValidation>
    <dataValidation type="list" allowBlank="1" sqref="F4:F103" xr:uid="{00000000-0002-0000-0100-000001000000}">
      <formula1>"Must have,Should have,Could have,Won't have"</formula1>
      <formula2>0</formula2>
    </dataValidation>
    <dataValidation type="list" allowBlank="1" sqref="M4:M103" xr:uid="{00000000-0002-0000-0100-000002000000}">
      <formula1>"Pasado,Fallido,Bloqueado,Pendiente,N/A"</formula1>
      <formula2>0</formula2>
    </dataValidation>
    <dataValidation type="list" allowBlank="1" sqref="O4:O103" xr:uid="{00000000-0002-0000-0100-000003000000}">
      <formula1>"Propuesto,Aprobado,En desarrollo,Implementado,Verificado,Aplazado,Rechazado,Archivado"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20" sqref="E20"/>
    </sheetView>
  </sheetViews>
  <sheetFormatPr baseColWidth="10" defaultColWidth="8.796875" defaultRowHeight="14.4" x14ac:dyDescent="0.3"/>
  <cols>
    <col min="1" max="1" width="12" customWidth="1"/>
    <col min="2" max="2" width="24" customWidth="1"/>
    <col min="3" max="14" width="9" customWidth="1"/>
  </cols>
  <sheetData>
    <row r="1" spans="1:14" ht="36" customHeight="1" x14ac:dyDescent="0.3">
      <c r="A1" s="76" t="s">
        <v>128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31"/>
    </row>
    <row r="2" spans="1:14" ht="18" customHeight="1" x14ac:dyDescent="0.3">
      <c r="A2" s="31"/>
      <c r="B2" s="31"/>
      <c r="C2" s="83" t="s">
        <v>129</v>
      </c>
      <c r="D2" s="83"/>
      <c r="E2" s="83"/>
      <c r="F2" s="83"/>
      <c r="G2" s="84" t="s">
        <v>130</v>
      </c>
      <c r="H2" s="84"/>
      <c r="I2" s="84"/>
      <c r="J2" s="84"/>
      <c r="K2" s="84"/>
      <c r="L2" s="85" t="s">
        <v>131</v>
      </c>
      <c r="M2" s="85"/>
      <c r="N2" s="85"/>
    </row>
    <row r="3" spans="1:14" ht="72" customHeight="1" x14ac:dyDescent="0.3">
      <c r="A3" s="32" t="s">
        <v>132</v>
      </c>
      <c r="B3" s="32" t="s">
        <v>133</v>
      </c>
      <c r="C3" s="33" t="s">
        <v>64</v>
      </c>
      <c r="D3" s="33" t="s">
        <v>79</v>
      </c>
      <c r="E3" s="33" t="s">
        <v>108</v>
      </c>
      <c r="F3" s="33" t="s">
        <v>119</v>
      </c>
      <c r="G3" s="34" t="s">
        <v>71</v>
      </c>
      <c r="H3" s="34" t="s">
        <v>83</v>
      </c>
      <c r="I3" s="34" t="s">
        <v>90</v>
      </c>
      <c r="J3" s="34" t="s">
        <v>95</v>
      </c>
      <c r="K3" s="34" t="s">
        <v>134</v>
      </c>
      <c r="L3" s="35" t="s">
        <v>135</v>
      </c>
      <c r="M3" s="35" t="s">
        <v>136</v>
      </c>
      <c r="N3" s="35" t="s">
        <v>137</v>
      </c>
    </row>
    <row r="4" spans="1:14" ht="19.5" customHeight="1" x14ac:dyDescent="0.3">
      <c r="A4" s="36" t="s">
        <v>61</v>
      </c>
      <c r="B4" s="37" t="s">
        <v>138</v>
      </c>
      <c r="C4" s="38" t="s">
        <v>139</v>
      </c>
      <c r="D4" s="39"/>
      <c r="E4" s="39"/>
      <c r="F4" s="39"/>
      <c r="G4" s="38" t="s">
        <v>139</v>
      </c>
      <c r="H4" s="39"/>
      <c r="I4" s="39"/>
      <c r="J4" s="39"/>
      <c r="K4" s="39"/>
      <c r="L4" s="38" t="s">
        <v>139</v>
      </c>
      <c r="M4" s="39" t="s">
        <v>139</v>
      </c>
      <c r="N4" s="39" t="s">
        <v>139</v>
      </c>
    </row>
    <row r="5" spans="1:14" ht="19.5" customHeight="1" x14ac:dyDescent="0.3">
      <c r="A5" s="36" t="s">
        <v>77</v>
      </c>
      <c r="B5" s="40" t="s">
        <v>140</v>
      </c>
      <c r="C5" s="38" t="s">
        <v>139</v>
      </c>
      <c r="D5" s="41" t="s">
        <v>139</v>
      </c>
      <c r="E5" s="41"/>
      <c r="F5" s="41"/>
      <c r="G5" s="41"/>
      <c r="H5" s="38" t="s">
        <v>139</v>
      </c>
      <c r="I5" s="41"/>
      <c r="J5" s="41"/>
      <c r="K5" s="41"/>
      <c r="L5" s="38" t="s">
        <v>139</v>
      </c>
      <c r="M5" s="41" t="s">
        <v>139</v>
      </c>
      <c r="N5" s="41" t="s">
        <v>139</v>
      </c>
    </row>
    <row r="6" spans="1:14" ht="19.5" customHeight="1" x14ac:dyDescent="0.3">
      <c r="A6" s="36" t="s">
        <v>86</v>
      </c>
      <c r="B6" s="37" t="s">
        <v>141</v>
      </c>
      <c r="C6" s="39" t="s">
        <v>139</v>
      </c>
      <c r="D6" s="38"/>
      <c r="E6" s="39"/>
      <c r="F6" s="39"/>
      <c r="G6" s="39"/>
      <c r="H6" s="39"/>
      <c r="I6" s="38" t="s">
        <v>139</v>
      </c>
      <c r="J6" s="39"/>
      <c r="K6" s="39"/>
      <c r="L6" s="38" t="s">
        <v>139</v>
      </c>
      <c r="M6" s="39"/>
      <c r="N6" s="39" t="s">
        <v>139</v>
      </c>
    </row>
    <row r="7" spans="1:14" ht="19.5" customHeight="1" x14ac:dyDescent="0.3">
      <c r="A7" s="36" t="s">
        <v>91</v>
      </c>
      <c r="B7" s="40" t="s">
        <v>142</v>
      </c>
      <c r="C7" s="41" t="s">
        <v>139</v>
      </c>
      <c r="D7" s="41"/>
      <c r="E7" s="41"/>
      <c r="F7" s="41"/>
      <c r="G7" s="41"/>
      <c r="H7" s="41"/>
      <c r="I7" s="41"/>
      <c r="J7" s="38" t="s">
        <v>139</v>
      </c>
      <c r="K7" s="41"/>
      <c r="L7" s="38" t="s">
        <v>139</v>
      </c>
      <c r="M7" s="41" t="s">
        <v>139</v>
      </c>
      <c r="N7" s="41" t="s">
        <v>139</v>
      </c>
    </row>
    <row r="8" spans="1:14" ht="19.5" customHeight="1" x14ac:dyDescent="0.3">
      <c r="A8" s="36" t="s">
        <v>97</v>
      </c>
      <c r="B8" s="37" t="s">
        <v>143</v>
      </c>
      <c r="C8" s="39" t="s">
        <v>139</v>
      </c>
      <c r="D8" s="38"/>
      <c r="E8" s="39"/>
      <c r="F8" s="39"/>
      <c r="G8" s="39"/>
      <c r="H8" s="39"/>
      <c r="I8" s="38"/>
      <c r="J8" s="39"/>
      <c r="K8" s="39"/>
      <c r="L8" s="38"/>
      <c r="M8" s="39"/>
      <c r="N8" s="39" t="s">
        <v>139</v>
      </c>
    </row>
    <row r="9" spans="1:14" ht="19.5" customHeight="1" x14ac:dyDescent="0.3">
      <c r="A9" s="36" t="s">
        <v>106</v>
      </c>
      <c r="B9" s="40" t="s">
        <v>144</v>
      </c>
      <c r="C9" s="41"/>
      <c r="D9" s="41"/>
      <c r="E9" s="38" t="s">
        <v>139</v>
      </c>
      <c r="F9" s="41"/>
      <c r="G9" s="41"/>
      <c r="H9" s="41"/>
      <c r="I9" s="41"/>
      <c r="J9" s="41"/>
      <c r="K9" s="38"/>
      <c r="L9" s="41"/>
      <c r="M9" s="38"/>
      <c r="N9" s="41" t="s">
        <v>139</v>
      </c>
    </row>
    <row r="10" spans="1:14" ht="19.5" customHeight="1" x14ac:dyDescent="0.3">
      <c r="A10" s="36" t="s">
        <v>116</v>
      </c>
      <c r="B10" s="37" t="s">
        <v>145</v>
      </c>
      <c r="C10" s="39"/>
      <c r="D10" s="39"/>
      <c r="E10" s="38"/>
      <c r="F10" s="39" t="s">
        <v>139</v>
      </c>
      <c r="G10" s="39"/>
      <c r="H10" s="39"/>
      <c r="I10" s="39"/>
      <c r="J10" s="39"/>
      <c r="K10" s="38"/>
      <c r="L10" s="39"/>
      <c r="M10" s="38"/>
      <c r="N10" s="39" t="s">
        <v>139</v>
      </c>
    </row>
    <row r="11" spans="1:14" ht="19.5" customHeight="1" x14ac:dyDescent="0.3">
      <c r="A11" s="36"/>
      <c r="B11" s="40"/>
      <c r="C11" s="41"/>
      <c r="D11" s="41"/>
      <c r="E11" s="41"/>
      <c r="F11" s="38"/>
      <c r="G11" s="41"/>
      <c r="H11" s="41"/>
      <c r="I11" s="41"/>
      <c r="J11" s="41"/>
      <c r="K11" s="41"/>
      <c r="L11" s="38"/>
      <c r="M11" s="41"/>
      <c r="N11" s="41"/>
    </row>
    <row r="12" spans="1:14" ht="19.5" customHeight="1" x14ac:dyDescent="0.3">
      <c r="A12" s="36"/>
      <c r="B12" s="37"/>
      <c r="C12" s="39"/>
      <c r="D12" s="39"/>
      <c r="E12" s="38"/>
      <c r="F12" s="39"/>
      <c r="G12" s="39"/>
      <c r="H12" s="39"/>
      <c r="I12" s="39"/>
      <c r="J12" s="39"/>
      <c r="K12" s="39"/>
      <c r="L12" s="39"/>
      <c r="M12" s="38"/>
      <c r="N12" s="39"/>
    </row>
    <row r="13" spans="1:14" ht="19.5" customHeight="1" x14ac:dyDescent="0.3">
      <c r="A13" s="36"/>
      <c r="B13" s="40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38"/>
      <c r="N13" s="41"/>
    </row>
    <row r="14" spans="1:14" ht="19.5" customHeight="1" x14ac:dyDescent="0.3">
      <c r="A14" s="36"/>
      <c r="B14" s="37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8"/>
    </row>
    <row r="15" spans="1:14" ht="19.5" customHeight="1" x14ac:dyDescent="0.3">
      <c r="A15" s="36"/>
      <c r="B15" s="40"/>
      <c r="C15" s="41"/>
      <c r="D15" s="38"/>
      <c r="E15" s="41"/>
      <c r="F15" s="41"/>
      <c r="G15" s="41"/>
      <c r="H15" s="41"/>
      <c r="I15" s="41"/>
      <c r="J15" s="41"/>
      <c r="K15" s="41"/>
      <c r="L15" s="41"/>
      <c r="M15" s="41"/>
      <c r="N15" s="38"/>
    </row>
    <row r="17" spans="1:14" ht="21.75" customHeight="1" x14ac:dyDescent="0.3">
      <c r="A17" s="86" t="s">
        <v>146</v>
      </c>
      <c r="B17" s="86"/>
      <c r="C17" s="42">
        <f t="shared" ref="C17:N17" si="0">IFERROR(COUNTIF(C4:C15,"✓")/COUNTA($A$4:$A$15),"")</f>
        <v>0.7142857142857143</v>
      </c>
      <c r="D17" s="43">
        <f t="shared" si="0"/>
        <v>0.14285714285714285</v>
      </c>
      <c r="E17" s="43">
        <f t="shared" si="0"/>
        <v>0.14285714285714285</v>
      </c>
      <c r="F17" s="43">
        <f t="shared" si="0"/>
        <v>0.14285714285714285</v>
      </c>
      <c r="G17" s="43">
        <f t="shared" si="0"/>
        <v>0.14285714285714285</v>
      </c>
      <c r="H17" s="43">
        <f t="shared" si="0"/>
        <v>0.14285714285714285</v>
      </c>
      <c r="I17" s="43">
        <f t="shared" si="0"/>
        <v>0.14285714285714285</v>
      </c>
      <c r="J17" s="43">
        <f t="shared" si="0"/>
        <v>0.14285714285714285</v>
      </c>
      <c r="K17" s="43">
        <f t="shared" si="0"/>
        <v>0</v>
      </c>
      <c r="L17" s="43">
        <f t="shared" si="0"/>
        <v>0.5714285714285714</v>
      </c>
      <c r="M17" s="43">
        <f t="shared" si="0"/>
        <v>0.42857142857142855</v>
      </c>
      <c r="N17" s="43">
        <f t="shared" si="0"/>
        <v>1</v>
      </c>
    </row>
  </sheetData>
  <mergeCells count="5">
    <mergeCell ref="A1:M1"/>
    <mergeCell ref="C2:F2"/>
    <mergeCell ref="G2:K2"/>
    <mergeCell ref="L2:N2"/>
    <mergeCell ref="A17:B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showGridLines="0" zoomScaleNormal="100" workbookViewId="0">
      <selection activeCell="E18" sqref="E18"/>
    </sheetView>
  </sheetViews>
  <sheetFormatPr baseColWidth="10" defaultColWidth="8.796875" defaultRowHeight="14.4" x14ac:dyDescent="0.3"/>
  <cols>
    <col min="1" max="1" width="12" customWidth="1"/>
    <col min="2" max="2" width="28" customWidth="1"/>
    <col min="3" max="4" width="14" customWidth="1"/>
    <col min="5" max="5" width="18" customWidth="1"/>
    <col min="6" max="6" width="12" customWidth="1"/>
    <col min="7" max="8" width="14" customWidth="1"/>
    <col min="9" max="9" width="18" customWidth="1"/>
  </cols>
  <sheetData>
    <row r="1" spans="1:10" ht="42" customHeight="1" x14ac:dyDescent="0.3">
      <c r="A1" s="76" t="s">
        <v>147</v>
      </c>
      <c r="B1" s="76"/>
      <c r="C1" s="76"/>
      <c r="D1" s="76"/>
      <c r="E1" s="76"/>
      <c r="F1" s="76"/>
      <c r="G1" s="76"/>
      <c r="H1" s="76"/>
      <c r="I1" s="76"/>
      <c r="J1" s="76"/>
    </row>
    <row r="2" spans="1:10" ht="18" customHeight="1" x14ac:dyDescent="0.3">
      <c r="A2" s="87" t="s">
        <v>148</v>
      </c>
      <c r="B2" s="87"/>
      <c r="C2" s="87"/>
      <c r="D2" s="87"/>
      <c r="E2" s="87"/>
      <c r="F2" s="87"/>
      <c r="G2" s="87"/>
      <c r="H2" s="87"/>
      <c r="I2" s="87"/>
      <c r="J2" s="87"/>
    </row>
    <row r="3" spans="1:10" ht="9.75" customHeight="1" x14ac:dyDescent="0.3"/>
    <row r="4" spans="1:10" ht="18" customHeight="1" x14ac:dyDescent="0.3">
      <c r="A4" s="88" t="s">
        <v>149</v>
      </c>
      <c r="B4" s="88"/>
      <c r="C4" s="89" t="s">
        <v>150</v>
      </c>
      <c r="D4" s="89"/>
      <c r="E4" s="90" t="s">
        <v>151</v>
      </c>
      <c r="F4" s="90"/>
      <c r="G4" s="91" t="s">
        <v>152</v>
      </c>
      <c r="H4" s="91"/>
      <c r="I4" s="92" t="s">
        <v>153</v>
      </c>
      <c r="J4" s="92"/>
    </row>
    <row r="5" spans="1:10" ht="39.75" customHeight="1" x14ac:dyDescent="0.3">
      <c r="A5" s="93">
        <f>COUNTA('📋 Matriz principal'!A4:A103)</f>
        <v>7</v>
      </c>
      <c r="B5" s="93"/>
      <c r="C5" s="94">
        <f>COUNTIF('📋 Matriz principal'!O4:O103,"Verificado")</f>
        <v>4</v>
      </c>
      <c r="D5" s="94"/>
      <c r="E5" s="95">
        <f>COUNTIF('📋 Matriz principal'!O4:O103,"En desarrollo")</f>
        <v>0</v>
      </c>
      <c r="F5" s="95"/>
      <c r="G5" s="96">
        <f>COUNTIF('📋 Matriz principal'!O4:O103,"Bloqueado")+COUNTIF('📋 Matriz principal'!M4:M103,"Fallido")</f>
        <v>0</v>
      </c>
      <c r="H5" s="96"/>
      <c r="I5" s="97">
        <f>SUMPRODUCT(('📋 Matriz principal'!$A$4:$A$103&lt;&gt;"")*('📋 Matriz principal'!$L$4:$L$103=""))</f>
        <v>3</v>
      </c>
      <c r="J5" s="97"/>
    </row>
    <row r="6" spans="1:10" ht="21.75" customHeight="1" x14ac:dyDescent="0.3">
      <c r="A6" s="98"/>
      <c r="B6" s="98"/>
      <c r="C6" s="99"/>
      <c r="D6" s="99"/>
      <c r="E6" s="100"/>
      <c r="F6" s="100"/>
      <c r="G6" s="101"/>
      <c r="H6" s="101"/>
      <c r="I6" s="102"/>
      <c r="J6" s="102"/>
    </row>
    <row r="7" spans="1:10" ht="15.75" customHeight="1" x14ac:dyDescent="0.3"/>
    <row r="8" spans="1:10" ht="19.5" customHeight="1" x14ac:dyDescent="0.3">
      <c r="A8" s="103" t="s">
        <v>154</v>
      </c>
      <c r="B8" s="103"/>
      <c r="C8" s="103"/>
      <c r="D8" s="103"/>
      <c r="E8" s="103"/>
      <c r="F8" s="103"/>
      <c r="G8" s="103"/>
      <c r="H8" s="103"/>
      <c r="I8" s="103"/>
      <c r="J8" s="103"/>
    </row>
    <row r="9" spans="1:10" ht="18" customHeight="1" x14ac:dyDescent="0.3">
      <c r="A9" s="44" t="s">
        <v>155</v>
      </c>
      <c r="B9" s="45" t="s">
        <v>156</v>
      </c>
      <c r="C9" s="46" t="s">
        <v>151</v>
      </c>
      <c r="D9" s="45" t="s">
        <v>157</v>
      </c>
      <c r="E9" s="47" t="s">
        <v>74</v>
      </c>
      <c r="F9" s="48" t="s">
        <v>113</v>
      </c>
      <c r="G9" s="49" t="s">
        <v>125</v>
      </c>
      <c r="H9" s="50" t="s">
        <v>103</v>
      </c>
    </row>
    <row r="10" spans="1:10" ht="24" customHeight="1" x14ac:dyDescent="0.3">
      <c r="A10" s="51">
        <f>COUNTIF('📋 Matriz principal'!O4:O103,"Propuesto")</f>
        <v>0</v>
      </c>
      <c r="B10" s="52">
        <f>COUNTIF('📋 Matriz principal'!O4:O103,"Aprobado")</f>
        <v>0</v>
      </c>
      <c r="C10" s="53">
        <f>COUNTIF('📋 Matriz principal'!O4:O103,"En desarrollo")</f>
        <v>0</v>
      </c>
      <c r="D10" s="52">
        <f>COUNTIF('📋 Matriz principal'!O4:O103,"Implementado")</f>
        <v>0</v>
      </c>
      <c r="E10" s="54">
        <f>COUNTIF('📋 Matriz principal'!O4:O103,"Verificado")</f>
        <v>4</v>
      </c>
      <c r="F10" s="55">
        <f>COUNTIF('📋 Matriz principal'!O4:O103,"Aplazado")</f>
        <v>1</v>
      </c>
      <c r="G10" s="56">
        <f>COUNTIF('📋 Matriz principal'!O4:O103,"Rechazado")</f>
        <v>1</v>
      </c>
      <c r="H10" s="57">
        <f>COUNTIF('📋 Matriz principal'!O4:O103,"Archivado")</f>
        <v>1</v>
      </c>
    </row>
    <row r="11" spans="1:10" ht="15.75" customHeight="1" x14ac:dyDescent="0.3"/>
    <row r="12" spans="1:10" ht="19.5" customHeight="1" x14ac:dyDescent="0.3">
      <c r="A12" s="103" t="s">
        <v>158</v>
      </c>
      <c r="B12" s="103"/>
      <c r="C12" s="103"/>
      <c r="D12" s="103"/>
      <c r="E12" s="103"/>
      <c r="F12" s="103"/>
      <c r="G12" s="103"/>
      <c r="H12" s="103"/>
    </row>
    <row r="13" spans="1:10" ht="18" customHeight="1" x14ac:dyDescent="0.3">
      <c r="A13" s="104" t="s">
        <v>66</v>
      </c>
      <c r="B13" s="104"/>
      <c r="C13" s="105" t="s">
        <v>99</v>
      </c>
      <c r="D13" s="105"/>
      <c r="E13" s="106" t="s">
        <v>109</v>
      </c>
      <c r="F13" s="106"/>
      <c r="G13" s="107" t="s">
        <v>121</v>
      </c>
      <c r="H13" s="107"/>
    </row>
    <row r="14" spans="1:10" ht="24" customHeight="1" x14ac:dyDescent="0.3">
      <c r="A14" s="108">
        <f>COUNTIF('📋 Matriz principal'!F4:F103,"Must have")</f>
        <v>4</v>
      </c>
      <c r="B14" s="108"/>
      <c r="C14" s="109">
        <f>COUNTIF('📋 Matriz principal'!F4:F103,"Should have")</f>
        <v>1</v>
      </c>
      <c r="D14" s="109"/>
      <c r="E14" s="110">
        <f>COUNTIF('📋 Matriz principal'!F4:F103,"Could have")</f>
        <v>1</v>
      </c>
      <c r="F14" s="110"/>
      <c r="G14" s="111">
        <f>COUNTIF('📋 Matriz principal'!F4:F103,"Won't have")</f>
        <v>1</v>
      </c>
      <c r="H14" s="111"/>
    </row>
    <row r="15" spans="1:10" ht="15.75" customHeight="1" x14ac:dyDescent="0.3"/>
    <row r="16" spans="1:10" ht="19.5" customHeight="1" x14ac:dyDescent="0.3">
      <c r="A16" s="103" t="s">
        <v>159</v>
      </c>
      <c r="B16" s="103"/>
      <c r="C16" s="103"/>
      <c r="D16" s="103"/>
      <c r="E16" s="103"/>
      <c r="F16" s="103"/>
      <c r="G16" s="103"/>
      <c r="H16" s="103"/>
    </row>
    <row r="17" spans="1:6" ht="18" customHeight="1" x14ac:dyDescent="0.3">
      <c r="A17" s="58" t="s">
        <v>132</v>
      </c>
      <c r="B17" s="58" t="s">
        <v>160</v>
      </c>
      <c r="C17" s="58" t="s">
        <v>161</v>
      </c>
      <c r="D17" s="58" t="s">
        <v>162</v>
      </c>
      <c r="E17" s="58" t="s">
        <v>163</v>
      </c>
      <c r="F17" s="58" t="s">
        <v>164</v>
      </c>
    </row>
    <row r="18" spans="1:6" ht="19.5" customHeight="1" x14ac:dyDescent="0.3">
      <c r="A18" s="59" t="s">
        <v>106</v>
      </c>
      <c r="B18" t="s">
        <v>165</v>
      </c>
      <c r="C18" t="s">
        <v>109</v>
      </c>
      <c r="D18" t="s">
        <v>113</v>
      </c>
      <c r="E18" t="s">
        <v>235</v>
      </c>
      <c r="F18" t="s">
        <v>112</v>
      </c>
    </row>
  </sheetData>
  <mergeCells count="28">
    <mergeCell ref="A14:B14"/>
    <mergeCell ref="C14:D14"/>
    <mergeCell ref="E14:F14"/>
    <mergeCell ref="G14:H14"/>
    <mergeCell ref="A16:H16"/>
    <mergeCell ref="A8:J8"/>
    <mergeCell ref="A12:H12"/>
    <mergeCell ref="A13:B13"/>
    <mergeCell ref="C13:D13"/>
    <mergeCell ref="E13:F13"/>
    <mergeCell ref="G13:H13"/>
    <mergeCell ref="A6:B6"/>
    <mergeCell ref="C6:D6"/>
    <mergeCell ref="E6:F6"/>
    <mergeCell ref="G6:H6"/>
    <mergeCell ref="I6:J6"/>
    <mergeCell ref="A5:B5"/>
    <mergeCell ref="C5:D5"/>
    <mergeCell ref="E5:F5"/>
    <mergeCell ref="G5:H5"/>
    <mergeCell ref="I5:J5"/>
    <mergeCell ref="A1:J1"/>
    <mergeCell ref="A2:J2"/>
    <mergeCell ref="A4:B4"/>
    <mergeCell ref="C4:D4"/>
    <mergeCell ref="E4:F4"/>
    <mergeCell ref="G4:H4"/>
    <mergeCell ref="I4:J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showGridLines="0" zoomScaleNormal="100" workbookViewId="0">
      <pane ySplit="2" topLeftCell="A3" activePane="bottomLeft" state="frozen"/>
      <selection pane="bottomLeft" activeCell="S3" sqref="S3"/>
    </sheetView>
  </sheetViews>
  <sheetFormatPr baseColWidth="10" defaultColWidth="8.796875" defaultRowHeight="14.4" x14ac:dyDescent="0.3"/>
  <cols>
    <col min="1" max="1" width="10" customWidth="1"/>
    <col min="2" max="2" width="30" customWidth="1"/>
    <col min="3" max="3" width="18" customWidth="1"/>
    <col min="4" max="4" width="14" customWidth="1"/>
    <col min="5" max="5" width="12" customWidth="1"/>
    <col min="6" max="6" width="20" customWidth="1"/>
    <col min="7" max="7" width="28" customWidth="1"/>
    <col min="8" max="9" width="14" customWidth="1"/>
    <col min="10" max="10" width="18" customWidth="1"/>
    <col min="11" max="11" width="12" customWidth="1"/>
    <col min="12" max="12" width="14" customWidth="1"/>
    <col min="13" max="13" width="28" customWidth="1"/>
  </cols>
  <sheetData>
    <row r="1" spans="1:13" ht="36" customHeight="1" x14ac:dyDescent="0.3">
      <c r="A1" s="14" t="s">
        <v>166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36" customHeight="1" x14ac:dyDescent="0.3">
      <c r="A2" s="60" t="s">
        <v>167</v>
      </c>
      <c r="B2" s="61" t="s">
        <v>168</v>
      </c>
      <c r="C2" s="62" t="s">
        <v>169</v>
      </c>
      <c r="D2" s="60" t="s">
        <v>170</v>
      </c>
      <c r="E2" s="60" t="s">
        <v>161</v>
      </c>
      <c r="F2" s="60" t="s">
        <v>171</v>
      </c>
      <c r="G2" s="60" t="s">
        <v>172</v>
      </c>
      <c r="H2" s="60" t="s">
        <v>173</v>
      </c>
      <c r="I2" s="60" t="s">
        <v>174</v>
      </c>
      <c r="J2" s="60" t="s">
        <v>175</v>
      </c>
      <c r="K2" s="60" t="s">
        <v>176</v>
      </c>
      <c r="L2" s="60" t="s">
        <v>177</v>
      </c>
      <c r="M2" s="60" t="s">
        <v>178</v>
      </c>
    </row>
    <row r="3" spans="1:13" ht="30" customHeight="1" x14ac:dyDescent="0.3">
      <c r="A3" s="63" t="s">
        <v>104</v>
      </c>
      <c r="B3" s="64" t="s">
        <v>179</v>
      </c>
      <c r="C3" s="64" t="s">
        <v>180</v>
      </c>
      <c r="D3" s="65" t="s">
        <v>181</v>
      </c>
      <c r="E3" s="66" t="s">
        <v>182</v>
      </c>
      <c r="F3" s="64" t="s">
        <v>97</v>
      </c>
      <c r="G3" s="64" t="s">
        <v>183</v>
      </c>
      <c r="H3" s="67" t="s">
        <v>156</v>
      </c>
      <c r="I3" s="65" t="s">
        <v>181</v>
      </c>
      <c r="J3" s="64" t="s">
        <v>235</v>
      </c>
      <c r="K3" s="65" t="s">
        <v>184</v>
      </c>
      <c r="L3" s="67" t="s">
        <v>185</v>
      </c>
      <c r="M3" s="64" t="s">
        <v>186</v>
      </c>
    </row>
    <row r="4" spans="1:13" ht="30" customHeight="1" x14ac:dyDescent="0.3">
      <c r="A4" s="68" t="s">
        <v>84</v>
      </c>
      <c r="B4" s="15" t="s">
        <v>187</v>
      </c>
      <c r="C4" s="15" t="s">
        <v>188</v>
      </c>
      <c r="D4" s="23" t="s">
        <v>181</v>
      </c>
      <c r="E4" s="30" t="s">
        <v>182</v>
      </c>
      <c r="F4" s="15" t="s">
        <v>77</v>
      </c>
      <c r="G4" s="15" t="s">
        <v>189</v>
      </c>
      <c r="H4" s="25" t="s">
        <v>156</v>
      </c>
      <c r="I4" s="23" t="s">
        <v>181</v>
      </c>
      <c r="J4" s="15" t="s">
        <v>235</v>
      </c>
      <c r="K4" s="23" t="s">
        <v>70</v>
      </c>
      <c r="L4" s="25" t="s">
        <v>157</v>
      </c>
      <c r="M4" s="15" t="s">
        <v>190</v>
      </c>
    </row>
    <row r="5" spans="1:13" ht="30" customHeight="1" x14ac:dyDescent="0.3">
      <c r="A5" s="68" t="s">
        <v>114</v>
      </c>
      <c r="B5" s="27" t="s">
        <v>191</v>
      </c>
      <c r="C5" s="27" t="s">
        <v>65</v>
      </c>
      <c r="D5" s="28" t="s">
        <v>181</v>
      </c>
      <c r="E5" s="29" t="s">
        <v>192</v>
      </c>
      <c r="F5" s="27" t="s">
        <v>106</v>
      </c>
      <c r="G5" s="27" t="s">
        <v>193</v>
      </c>
      <c r="H5" s="25" t="s">
        <v>194</v>
      </c>
      <c r="I5" s="28" t="s">
        <v>181</v>
      </c>
      <c r="J5" s="27" t="s">
        <v>235</v>
      </c>
      <c r="K5" s="28" t="s">
        <v>112</v>
      </c>
      <c r="L5" s="29" t="s">
        <v>195</v>
      </c>
      <c r="M5" s="27" t="s">
        <v>196</v>
      </c>
    </row>
    <row r="6" spans="1:13" ht="30" customHeight="1" x14ac:dyDescent="0.3">
      <c r="A6" s="68" t="s">
        <v>126</v>
      </c>
      <c r="B6" s="15" t="s">
        <v>117</v>
      </c>
      <c r="C6" s="15" t="s">
        <v>120</v>
      </c>
      <c r="D6" s="23" t="s">
        <v>181</v>
      </c>
      <c r="E6" s="24" t="s">
        <v>197</v>
      </c>
      <c r="F6" s="15" t="s">
        <v>116</v>
      </c>
      <c r="G6" s="15" t="s">
        <v>198</v>
      </c>
      <c r="H6" s="29" t="s">
        <v>125</v>
      </c>
      <c r="I6" s="23" t="s">
        <v>181</v>
      </c>
      <c r="J6" s="15" t="s">
        <v>75</v>
      </c>
      <c r="K6" s="23" t="s">
        <v>124</v>
      </c>
      <c r="L6" s="30" t="s">
        <v>199</v>
      </c>
      <c r="M6" s="15" t="s">
        <v>200</v>
      </c>
    </row>
    <row r="7" spans="1:13" ht="30" customHeight="1" x14ac:dyDescent="0.3">
      <c r="A7" s="68"/>
      <c r="B7" s="27"/>
      <c r="C7" s="27"/>
      <c r="D7" s="28"/>
      <c r="E7" s="30"/>
      <c r="F7" s="27"/>
      <c r="G7" s="27"/>
      <c r="H7" s="24"/>
      <c r="I7" s="28"/>
      <c r="J7" s="27"/>
      <c r="K7" s="28"/>
      <c r="L7" s="24"/>
      <c r="M7" s="27"/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showGridLines="0" zoomScaleNormal="100" workbookViewId="0">
      <pane ySplit="2" topLeftCell="A3" activePane="bottomLeft" state="frozen"/>
      <selection pane="bottomLeft" activeCell="E9" sqref="E9"/>
    </sheetView>
  </sheetViews>
  <sheetFormatPr baseColWidth="10" defaultColWidth="8.796875" defaultRowHeight="14.4" x14ac:dyDescent="0.3"/>
  <cols>
    <col min="1" max="2" width="14" customWidth="1"/>
    <col min="3" max="3" width="34" customWidth="1"/>
    <col min="4" max="4" width="14" customWidth="1"/>
    <col min="5" max="6" width="18" customWidth="1"/>
    <col min="7" max="7" width="24" customWidth="1"/>
  </cols>
  <sheetData>
    <row r="1" spans="1:7" ht="36" customHeight="1" x14ac:dyDescent="0.3">
      <c r="A1" s="14" t="s">
        <v>201</v>
      </c>
      <c r="B1" s="14"/>
      <c r="C1" s="14"/>
      <c r="D1" s="14"/>
      <c r="E1" s="14"/>
      <c r="F1" s="14"/>
      <c r="G1" s="14"/>
    </row>
    <row r="2" spans="1:7" ht="33.75" customHeight="1" x14ac:dyDescent="0.3">
      <c r="A2" s="69" t="s">
        <v>202</v>
      </c>
      <c r="B2" s="70" t="s">
        <v>45</v>
      </c>
      <c r="C2" s="71" t="s">
        <v>203</v>
      </c>
      <c r="D2" s="70" t="s">
        <v>204</v>
      </c>
      <c r="E2" s="70" t="s">
        <v>205</v>
      </c>
      <c r="F2" s="70" t="s">
        <v>206</v>
      </c>
      <c r="G2" s="72" t="s">
        <v>207</v>
      </c>
    </row>
    <row r="3" spans="1:7" ht="21.75" customHeight="1" x14ac:dyDescent="0.3">
      <c r="A3" s="68" t="s">
        <v>208</v>
      </c>
      <c r="B3" s="30" t="s">
        <v>209</v>
      </c>
      <c r="C3" s="27" t="s">
        <v>210</v>
      </c>
      <c r="D3" s="28" t="s">
        <v>211</v>
      </c>
      <c r="E3" s="27" t="s">
        <v>236</v>
      </c>
      <c r="F3" s="28" t="s">
        <v>181</v>
      </c>
      <c r="G3" s="27" t="s">
        <v>212</v>
      </c>
    </row>
    <row r="4" spans="1:7" ht="21.75" customHeight="1" x14ac:dyDescent="0.3">
      <c r="A4" s="68" t="s">
        <v>213</v>
      </c>
      <c r="B4" s="30" t="s">
        <v>214</v>
      </c>
      <c r="C4" s="15" t="s">
        <v>215</v>
      </c>
      <c r="D4" s="23" t="s">
        <v>216</v>
      </c>
      <c r="E4" s="15" t="s">
        <v>237</v>
      </c>
      <c r="F4" s="23" t="s">
        <v>73</v>
      </c>
      <c r="G4" s="15" t="s">
        <v>217</v>
      </c>
    </row>
    <row r="5" spans="1:7" ht="21.75" customHeight="1" x14ac:dyDescent="0.3">
      <c r="A5" s="68" t="s">
        <v>218</v>
      </c>
      <c r="B5" s="30" t="s">
        <v>219</v>
      </c>
      <c r="C5" s="27" t="s">
        <v>220</v>
      </c>
      <c r="D5" s="28" t="s">
        <v>221</v>
      </c>
      <c r="E5" s="27" t="s">
        <v>238</v>
      </c>
      <c r="F5" s="28" t="s">
        <v>181</v>
      </c>
      <c r="G5" s="27" t="s">
        <v>222</v>
      </c>
    </row>
    <row r="6" spans="1:7" ht="21.75" customHeight="1" x14ac:dyDescent="0.3">
      <c r="A6" s="68" t="s">
        <v>223</v>
      </c>
      <c r="B6" s="25" t="s">
        <v>224</v>
      </c>
      <c r="C6" s="15" t="s">
        <v>225</v>
      </c>
      <c r="D6" s="23" t="s">
        <v>226</v>
      </c>
      <c r="E6" s="15" t="s">
        <v>235</v>
      </c>
      <c r="F6" s="23" t="s">
        <v>73</v>
      </c>
      <c r="G6" s="15" t="s">
        <v>227</v>
      </c>
    </row>
    <row r="7" spans="1:7" ht="21.75" customHeight="1" x14ac:dyDescent="0.3">
      <c r="A7" s="68" t="s">
        <v>228</v>
      </c>
      <c r="B7" s="25" t="s">
        <v>229</v>
      </c>
      <c r="C7" s="27" t="s">
        <v>230</v>
      </c>
      <c r="D7" s="28" t="s">
        <v>221</v>
      </c>
      <c r="E7" s="27" t="s">
        <v>235</v>
      </c>
      <c r="F7" s="28" t="s">
        <v>73</v>
      </c>
      <c r="G7" s="27" t="s">
        <v>227</v>
      </c>
    </row>
    <row r="8" spans="1:7" ht="21.75" customHeight="1" x14ac:dyDescent="0.3">
      <c r="A8" s="68" t="s">
        <v>231</v>
      </c>
      <c r="B8" s="25" t="s">
        <v>232</v>
      </c>
      <c r="C8" s="15" t="s">
        <v>233</v>
      </c>
      <c r="D8" s="23" t="s">
        <v>234</v>
      </c>
      <c r="E8" s="15" t="s">
        <v>235</v>
      </c>
      <c r="F8" s="23" t="s">
        <v>73</v>
      </c>
      <c r="G8" s="15" t="s">
        <v>227</v>
      </c>
    </row>
    <row r="9" spans="1:7" ht="21.75" customHeight="1" x14ac:dyDescent="0.3">
      <c r="A9" s="68"/>
      <c r="B9" s="25"/>
      <c r="C9" s="27"/>
      <c r="D9" s="28"/>
      <c r="E9" s="27"/>
      <c r="F9" s="28"/>
      <c r="G9" s="27"/>
    </row>
    <row r="10" spans="1:7" ht="21.75" customHeight="1" x14ac:dyDescent="0.3">
      <c r="A10" s="68"/>
      <c r="B10" s="25"/>
      <c r="C10" s="15"/>
      <c r="D10" s="23"/>
      <c r="E10" s="15"/>
      <c r="F10" s="23"/>
      <c r="G10" s="15"/>
    </row>
    <row r="11" spans="1:7" ht="21.75" customHeight="1" x14ac:dyDescent="0.3">
      <c r="A11" s="68"/>
      <c r="B11" s="25"/>
      <c r="C11" s="27"/>
      <c r="D11" s="28"/>
      <c r="E11" s="27"/>
      <c r="F11" s="28"/>
      <c r="G11" s="27"/>
    </row>
    <row r="12" spans="1:7" ht="21.75" customHeight="1" x14ac:dyDescent="0.3">
      <c r="A12" s="68"/>
      <c r="B12" s="25"/>
      <c r="C12" s="15"/>
      <c r="D12" s="23"/>
      <c r="E12" s="15"/>
      <c r="F12" s="23"/>
      <c r="G12" s="15"/>
    </row>
    <row r="13" spans="1:7" ht="21.75" customHeight="1" x14ac:dyDescent="0.3">
      <c r="A13" s="68"/>
      <c r="B13" s="25"/>
      <c r="C13" s="27"/>
      <c r="D13" s="28"/>
      <c r="E13" s="27"/>
      <c r="F13" s="28"/>
      <c r="G13" s="27"/>
    </row>
    <row r="14" spans="1:7" ht="21.75" customHeight="1" x14ac:dyDescent="0.3">
      <c r="A14" s="68"/>
      <c r="B14" s="73"/>
      <c r="C14" s="15"/>
      <c r="D14" s="23"/>
      <c r="E14" s="15"/>
      <c r="F14" s="23"/>
      <c r="G14" s="15"/>
    </row>
    <row r="15" spans="1:7" ht="21.75" customHeight="1" x14ac:dyDescent="0.3">
      <c r="A15" s="68"/>
      <c r="B15" s="73"/>
      <c r="C15" s="27"/>
      <c r="D15" s="28"/>
      <c r="E15" s="27"/>
      <c r="F15" s="28"/>
      <c r="G15" s="27"/>
    </row>
    <row r="16" spans="1:7" ht="21.75" customHeight="1" x14ac:dyDescent="0.3">
      <c r="A16" s="68"/>
      <c r="B16" s="73"/>
      <c r="C16" s="15"/>
      <c r="D16" s="23"/>
      <c r="E16" s="15"/>
      <c r="F16" s="23"/>
      <c r="G16" s="15"/>
    </row>
    <row r="17" spans="1:7" ht="21.75" customHeight="1" x14ac:dyDescent="0.3">
      <c r="A17" s="68"/>
      <c r="B17" s="73"/>
      <c r="C17" s="27"/>
      <c r="D17" s="28"/>
      <c r="E17" s="27"/>
      <c r="F17" s="28"/>
      <c r="G17" s="27"/>
    </row>
    <row r="18" spans="1:7" ht="21.75" customHeight="1" x14ac:dyDescent="0.3">
      <c r="A18" s="68"/>
      <c r="B18" s="73"/>
      <c r="C18" s="15"/>
      <c r="D18" s="23"/>
      <c r="E18" s="15"/>
      <c r="F18" s="23"/>
      <c r="G18" s="15"/>
    </row>
    <row r="19" spans="1:7" ht="21.75" customHeight="1" x14ac:dyDescent="0.3">
      <c r="A19" s="68"/>
      <c r="B19" s="74"/>
      <c r="C19" s="27"/>
      <c r="D19" s="28"/>
      <c r="E19" s="27"/>
      <c r="F19" s="28"/>
      <c r="G19" s="27"/>
    </row>
    <row r="20" spans="1:7" ht="21.75" customHeight="1" x14ac:dyDescent="0.3">
      <c r="A20" s="68"/>
      <c r="B20" s="74"/>
      <c r="C20" s="15"/>
      <c r="D20" s="23"/>
      <c r="E20" s="15"/>
      <c r="F20" s="23"/>
      <c r="G20" s="15"/>
    </row>
    <row r="21" spans="1:7" ht="21.75" customHeight="1" x14ac:dyDescent="0.3">
      <c r="A21" s="68"/>
      <c r="B21" s="29"/>
      <c r="C21" s="27"/>
      <c r="D21" s="28"/>
      <c r="E21" s="27"/>
      <c r="F21" s="28"/>
      <c r="G21" s="27"/>
    </row>
    <row r="22" spans="1:7" ht="21.75" customHeight="1" x14ac:dyDescent="0.3">
      <c r="A22" s="68"/>
      <c r="B22" s="68"/>
      <c r="C22" s="15"/>
      <c r="D22" s="23"/>
      <c r="E22" s="15"/>
      <c r="F22" s="23"/>
      <c r="G22" s="15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📖 Instrucciones</vt:lpstr>
      <vt:lpstr>📋 Matriz principal</vt:lpstr>
      <vt:lpstr>🔗 Trazabilidad visual</vt:lpstr>
      <vt:lpstr>📊 Resumen y métricas</vt:lpstr>
      <vt:lpstr>📝 Registro de RFCs</vt:lpstr>
      <vt:lpstr>🗂️ Catálogo de artefactos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BARRERA CARO Manuela</cp:lastModifiedBy>
  <cp:revision>0</cp:revision>
  <dcterms:created xsi:type="dcterms:W3CDTF">2026-06-17T01:22:24Z</dcterms:created>
  <dcterms:modified xsi:type="dcterms:W3CDTF">2026-09-21T02:03:45Z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0x0101006127783753953547B7FC3082537267E2</vt:lpwstr>
  </property>
  <property fmtid="{D5CDD505-2E9C-101B-9397-08002B2CF9AE}" pid="3" name="MediaServiceImageTags">
    <vt:lpwstr/>
  </property>
</Properties>
</file>